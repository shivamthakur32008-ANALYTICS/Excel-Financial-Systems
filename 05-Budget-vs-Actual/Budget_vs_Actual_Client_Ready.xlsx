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8ED3192B30C47D9/"/>
    </mc:Choice>
  </mc:AlternateContent>
  <xr:revisionPtr revIDLastSave="3" documentId="11_ABB0907DA727CFF2503772FBD029FC8F69907653" xr6:coauthVersionLast="47" xr6:coauthVersionMax="47" xr10:uidLastSave="{0878CE57-DEA4-464C-97E8-AE25E0017044}"/>
  <bookViews>
    <workbookView xWindow="-120" yWindow="-120" windowWidth="29040" windowHeight="16440" activeTab="1" xr2:uid="{00000000-000D-0000-FFFF-FFFF00000000}"/>
  </bookViews>
  <sheets>
    <sheet name="Dashboard" sheetId="1" r:id="rId1"/>
    <sheet name="Data Entry" sheetId="2" r:id="rId2"/>
    <sheet name="Setup" sheetId="3" r:id="rId3"/>
    <sheet name="Checks" sheetId="4" r:id="rId4"/>
    <sheet name="Read 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C9" i="4"/>
  <c r="C8" i="4"/>
  <c r="B8" i="4"/>
  <c r="D8" i="4" s="1"/>
  <c r="E8" i="4" s="1"/>
  <c r="C7" i="4"/>
  <c r="B7" i="4"/>
  <c r="D7" i="4" s="1"/>
  <c r="E7" i="4" s="1"/>
  <c r="I127" i="2"/>
  <c r="H127" i="2"/>
  <c r="G127" i="2"/>
  <c r="I126" i="2"/>
  <c r="G126" i="2"/>
  <c r="H126" i="2" s="1"/>
  <c r="I125" i="2"/>
  <c r="H125" i="2"/>
  <c r="G125" i="2"/>
  <c r="I124" i="2"/>
  <c r="H124" i="2"/>
  <c r="G124" i="2"/>
  <c r="I123" i="2"/>
  <c r="G123" i="2"/>
  <c r="H123" i="2" s="1"/>
  <c r="I122" i="2"/>
  <c r="G122" i="2"/>
  <c r="H122" i="2" s="1"/>
  <c r="I121" i="2"/>
  <c r="G121" i="2"/>
  <c r="H121" i="2" s="1"/>
  <c r="I120" i="2"/>
  <c r="H120" i="2"/>
  <c r="G120" i="2"/>
  <c r="I119" i="2"/>
  <c r="H119" i="2"/>
  <c r="G119" i="2"/>
  <c r="I118" i="2"/>
  <c r="G118" i="2"/>
  <c r="H118" i="2" s="1"/>
  <c r="I117" i="2"/>
  <c r="H117" i="2"/>
  <c r="G117" i="2"/>
  <c r="I116" i="2"/>
  <c r="H116" i="2"/>
  <c r="G116" i="2"/>
  <c r="I115" i="2"/>
  <c r="G115" i="2"/>
  <c r="H115" i="2" s="1"/>
  <c r="I114" i="2"/>
  <c r="G114" i="2"/>
  <c r="H114" i="2" s="1"/>
  <c r="I113" i="2"/>
  <c r="G113" i="2"/>
  <c r="H113" i="2" s="1"/>
  <c r="I112" i="2"/>
  <c r="H112" i="2"/>
  <c r="G112" i="2"/>
  <c r="I111" i="2"/>
  <c r="H111" i="2"/>
  <c r="G111" i="2"/>
  <c r="I110" i="2"/>
  <c r="G110" i="2"/>
  <c r="H110" i="2" s="1"/>
  <c r="I109" i="2"/>
  <c r="H109" i="2"/>
  <c r="G109" i="2"/>
  <c r="I108" i="2"/>
  <c r="H108" i="2"/>
  <c r="G108" i="2"/>
  <c r="I107" i="2"/>
  <c r="G107" i="2"/>
  <c r="H107" i="2" s="1"/>
  <c r="I106" i="2"/>
  <c r="G106" i="2"/>
  <c r="H106" i="2" s="1"/>
  <c r="I105" i="2"/>
  <c r="G105" i="2"/>
  <c r="H105" i="2" s="1"/>
  <c r="I104" i="2"/>
  <c r="H104" i="2"/>
  <c r="G104" i="2"/>
  <c r="I103" i="2"/>
  <c r="H103" i="2"/>
  <c r="G103" i="2"/>
  <c r="I102" i="2"/>
  <c r="G102" i="2"/>
  <c r="H102" i="2" s="1"/>
  <c r="I101" i="2"/>
  <c r="H101" i="2"/>
  <c r="G101" i="2"/>
  <c r="I100" i="2"/>
  <c r="H100" i="2"/>
  <c r="G100" i="2"/>
  <c r="I99" i="2"/>
  <c r="G99" i="2"/>
  <c r="H99" i="2" s="1"/>
  <c r="I98" i="2"/>
  <c r="G98" i="2"/>
  <c r="H98" i="2" s="1"/>
  <c r="I97" i="2"/>
  <c r="G97" i="2"/>
  <c r="H97" i="2" s="1"/>
  <c r="I96" i="2"/>
  <c r="H96" i="2"/>
  <c r="G96" i="2"/>
  <c r="I95" i="2"/>
  <c r="H95" i="2"/>
  <c r="G95" i="2"/>
  <c r="I94" i="2"/>
  <c r="G94" i="2"/>
  <c r="H94" i="2" s="1"/>
  <c r="I93" i="2"/>
  <c r="H93" i="2"/>
  <c r="G93" i="2"/>
  <c r="I92" i="2"/>
  <c r="H92" i="2"/>
  <c r="G92" i="2"/>
  <c r="I91" i="2"/>
  <c r="G91" i="2"/>
  <c r="H91" i="2" s="1"/>
  <c r="I90" i="2"/>
  <c r="G90" i="2"/>
  <c r="H90" i="2" s="1"/>
  <c r="I89" i="2"/>
  <c r="G89" i="2"/>
  <c r="H89" i="2" s="1"/>
  <c r="I88" i="2"/>
  <c r="H88" i="2"/>
  <c r="G88" i="2"/>
  <c r="I87" i="2"/>
  <c r="H87" i="2"/>
  <c r="G87" i="2"/>
  <c r="I86" i="2"/>
  <c r="G86" i="2"/>
  <c r="H86" i="2" s="1"/>
  <c r="I85" i="2"/>
  <c r="H85" i="2"/>
  <c r="G85" i="2"/>
  <c r="I84" i="2"/>
  <c r="H84" i="2"/>
  <c r="G84" i="2"/>
  <c r="I83" i="2"/>
  <c r="G83" i="2"/>
  <c r="H83" i="2" s="1"/>
  <c r="I82" i="2"/>
  <c r="G82" i="2"/>
  <c r="H82" i="2" s="1"/>
  <c r="I81" i="2"/>
  <c r="G81" i="2"/>
  <c r="H81" i="2" s="1"/>
  <c r="I80" i="2"/>
  <c r="H80" i="2"/>
  <c r="G80" i="2"/>
  <c r="I79" i="2"/>
  <c r="H79" i="2"/>
  <c r="G79" i="2"/>
  <c r="I78" i="2"/>
  <c r="G78" i="2"/>
  <c r="H78" i="2" s="1"/>
  <c r="I77" i="2"/>
  <c r="H77" i="2"/>
  <c r="G77" i="2"/>
  <c r="I76" i="2"/>
  <c r="H76" i="2"/>
  <c r="G76" i="2"/>
  <c r="I75" i="2"/>
  <c r="G75" i="2"/>
  <c r="H75" i="2" s="1"/>
  <c r="I74" i="2"/>
  <c r="G74" i="2"/>
  <c r="H74" i="2" s="1"/>
  <c r="I73" i="2"/>
  <c r="G73" i="2"/>
  <c r="H73" i="2" s="1"/>
  <c r="I72" i="2"/>
  <c r="H72" i="2"/>
  <c r="G72" i="2"/>
  <c r="I71" i="2"/>
  <c r="H71" i="2"/>
  <c r="G71" i="2"/>
  <c r="I70" i="2"/>
  <c r="G70" i="2"/>
  <c r="H70" i="2" s="1"/>
  <c r="I69" i="2"/>
  <c r="H69" i="2"/>
  <c r="G69" i="2"/>
  <c r="I68" i="2"/>
  <c r="H68" i="2"/>
  <c r="G68" i="2"/>
  <c r="I67" i="2"/>
  <c r="G67" i="2"/>
  <c r="H67" i="2" s="1"/>
  <c r="I66" i="2"/>
  <c r="G66" i="2"/>
  <c r="H66" i="2" s="1"/>
  <c r="I65" i="2"/>
  <c r="G65" i="2"/>
  <c r="H65" i="2" s="1"/>
  <c r="I64" i="2"/>
  <c r="H64" i="2"/>
  <c r="G64" i="2"/>
  <c r="H63" i="2"/>
  <c r="G63" i="2"/>
  <c r="I63" i="2" s="1"/>
  <c r="G62" i="2"/>
  <c r="I62" i="2" s="1"/>
  <c r="I61" i="2"/>
  <c r="H61" i="2"/>
  <c r="G61" i="2"/>
  <c r="I60" i="2"/>
  <c r="H60" i="2"/>
  <c r="G60" i="2"/>
  <c r="G59" i="2"/>
  <c r="I59" i="2" s="1"/>
  <c r="G58" i="2"/>
  <c r="I58" i="2" s="1"/>
  <c r="I57" i="2"/>
  <c r="G57" i="2"/>
  <c r="H57" i="2" s="1"/>
  <c r="I56" i="2"/>
  <c r="H56" i="2"/>
  <c r="G56" i="2"/>
  <c r="H55" i="2"/>
  <c r="G55" i="2"/>
  <c r="I55" i="2" s="1"/>
  <c r="G54" i="2"/>
  <c r="I54" i="2" s="1"/>
  <c r="I53" i="2"/>
  <c r="H53" i="2"/>
  <c r="G53" i="2"/>
  <c r="I52" i="2"/>
  <c r="H52" i="2"/>
  <c r="G52" i="2"/>
  <c r="G51" i="2"/>
  <c r="I51" i="2" s="1"/>
  <c r="G50" i="2"/>
  <c r="I50" i="2" s="1"/>
  <c r="I49" i="2"/>
  <c r="G49" i="2"/>
  <c r="H49" i="2" s="1"/>
  <c r="I48" i="2"/>
  <c r="H48" i="2"/>
  <c r="G48" i="2"/>
  <c r="H47" i="2"/>
  <c r="G47" i="2"/>
  <c r="I47" i="2" s="1"/>
  <c r="G46" i="2"/>
  <c r="I46" i="2" s="1"/>
  <c r="I45" i="2"/>
  <c r="H45" i="2"/>
  <c r="G45" i="2"/>
  <c r="I44" i="2"/>
  <c r="H44" i="2"/>
  <c r="G44" i="2"/>
  <c r="G43" i="2"/>
  <c r="I43" i="2" s="1"/>
  <c r="G42" i="2"/>
  <c r="I42" i="2" s="1"/>
  <c r="I41" i="2"/>
  <c r="G41" i="2"/>
  <c r="H41" i="2" s="1"/>
  <c r="I40" i="2"/>
  <c r="H40" i="2"/>
  <c r="G40" i="2"/>
  <c r="H39" i="2"/>
  <c r="G39" i="2"/>
  <c r="I39" i="2" s="1"/>
  <c r="G38" i="2"/>
  <c r="I38" i="2" s="1"/>
  <c r="I37" i="2"/>
  <c r="H37" i="2"/>
  <c r="G37" i="2"/>
  <c r="I36" i="2"/>
  <c r="H36" i="2"/>
  <c r="G36" i="2"/>
  <c r="G35" i="2"/>
  <c r="I35" i="2" s="1"/>
  <c r="G34" i="2"/>
  <c r="I34" i="2" s="1"/>
  <c r="I33" i="2"/>
  <c r="G33" i="2"/>
  <c r="H33" i="2" s="1"/>
  <c r="I32" i="2"/>
  <c r="H32" i="2"/>
  <c r="G32" i="2"/>
  <c r="H31" i="2"/>
  <c r="G31" i="2"/>
  <c r="I31" i="2" s="1"/>
  <c r="G30" i="2"/>
  <c r="I30" i="2" s="1"/>
  <c r="I29" i="2"/>
  <c r="H29" i="2"/>
  <c r="G29" i="2"/>
  <c r="I28" i="2"/>
  <c r="H28" i="2"/>
  <c r="G28" i="2"/>
  <c r="G27" i="2"/>
  <c r="I27" i="2" s="1"/>
  <c r="G26" i="2"/>
  <c r="I26" i="2" s="1"/>
  <c r="I25" i="2"/>
  <c r="G25" i="2"/>
  <c r="H25" i="2" s="1"/>
  <c r="I24" i="2"/>
  <c r="H24" i="2"/>
  <c r="G24" i="2"/>
  <c r="H23" i="2"/>
  <c r="G23" i="2"/>
  <c r="I23" i="2" s="1"/>
  <c r="G22" i="2"/>
  <c r="I22" i="2" s="1"/>
  <c r="I21" i="2"/>
  <c r="H21" i="2"/>
  <c r="G21" i="2"/>
  <c r="I20" i="2"/>
  <c r="H20" i="2"/>
  <c r="G20" i="2"/>
  <c r="G19" i="2"/>
  <c r="I19" i="2" s="1"/>
  <c r="G18" i="2"/>
  <c r="I18" i="2" s="1"/>
  <c r="I17" i="2"/>
  <c r="G17" i="2"/>
  <c r="H17" i="2" s="1"/>
  <c r="I16" i="2"/>
  <c r="H16" i="2"/>
  <c r="G16" i="2"/>
  <c r="H15" i="2"/>
  <c r="G15" i="2"/>
  <c r="I15" i="2" s="1"/>
  <c r="G14" i="2"/>
  <c r="I14" i="2" s="1"/>
  <c r="I13" i="2"/>
  <c r="H13" i="2"/>
  <c r="G13" i="2"/>
  <c r="I12" i="2"/>
  <c r="H12" i="2"/>
  <c r="G12" i="2"/>
  <c r="G11" i="2"/>
  <c r="I11" i="2" s="1"/>
  <c r="G10" i="2"/>
  <c r="I10" i="2" s="1"/>
  <c r="I9" i="2"/>
  <c r="G9" i="2"/>
  <c r="H9" i="2" s="1"/>
  <c r="I8" i="2"/>
  <c r="H8" i="2"/>
  <c r="G8" i="2"/>
  <c r="C35" i="1"/>
  <c r="D35" i="1" s="1"/>
  <c r="E35" i="1" s="1"/>
  <c r="B35" i="1"/>
  <c r="A35" i="1"/>
  <c r="C34" i="1"/>
  <c r="D34" i="1" s="1"/>
  <c r="E34" i="1" s="1"/>
  <c r="B34" i="1"/>
  <c r="A34" i="1"/>
  <c r="C33" i="1"/>
  <c r="D33" i="1" s="1"/>
  <c r="B33" i="1"/>
  <c r="A33" i="1"/>
  <c r="C32" i="1"/>
  <c r="D32" i="1" s="1"/>
  <c r="E32" i="1" s="1"/>
  <c r="B32" i="1"/>
  <c r="A32" i="1"/>
  <c r="C31" i="1"/>
  <c r="D31" i="1" s="1"/>
  <c r="B31" i="1"/>
  <c r="A31" i="1"/>
  <c r="C30" i="1"/>
  <c r="D30" i="1" s="1"/>
  <c r="E30" i="1" s="1"/>
  <c r="B30" i="1"/>
  <c r="A30" i="1"/>
  <c r="C29" i="1"/>
  <c r="B29" i="1"/>
  <c r="A29" i="1"/>
  <c r="C28" i="1"/>
  <c r="D28" i="1" s="1"/>
  <c r="E28" i="1" s="1"/>
  <c r="B28" i="1"/>
  <c r="A28" i="1"/>
  <c r="C27" i="1"/>
  <c r="B27" i="1"/>
  <c r="D27" i="1" s="1"/>
  <c r="E27" i="1" s="1"/>
  <c r="A27" i="1"/>
  <c r="C26" i="1"/>
  <c r="D26" i="1" s="1"/>
  <c r="E26" i="1" s="1"/>
  <c r="B26" i="1"/>
  <c r="A26" i="1"/>
  <c r="C25" i="1"/>
  <c r="D25" i="1" s="1"/>
  <c r="E25" i="1" s="1"/>
  <c r="B25" i="1"/>
  <c r="A25" i="1"/>
  <c r="C24" i="1"/>
  <c r="B24" i="1"/>
  <c r="A24" i="1"/>
  <c r="C19" i="1"/>
  <c r="B19" i="1"/>
  <c r="C18" i="1"/>
  <c r="B18" i="1"/>
  <c r="C17" i="1"/>
  <c r="B17" i="1"/>
  <c r="C16" i="1"/>
  <c r="B16" i="1"/>
  <c r="C15" i="1"/>
  <c r="D15" i="1" s="1"/>
  <c r="E15" i="1" s="1"/>
  <c r="B15" i="1"/>
  <c r="K14" i="1"/>
  <c r="C14" i="1"/>
  <c r="B14" i="1"/>
  <c r="D14" i="1" s="1"/>
  <c r="E14" i="1" s="1"/>
  <c r="C13" i="1"/>
  <c r="B13" i="1"/>
  <c r="D13" i="1" s="1"/>
  <c r="E13" i="1" s="1"/>
  <c r="C12" i="1"/>
  <c r="B12" i="1"/>
  <c r="D6" i="1"/>
  <c r="A6" i="1"/>
  <c r="I3" i="1"/>
  <c r="F3" i="1"/>
  <c r="A3" i="1"/>
  <c r="A1" i="1"/>
  <c r="D12" i="1" l="1"/>
  <c r="D19" i="1"/>
  <c r="E19" i="1" s="1"/>
  <c r="E33" i="1"/>
  <c r="D16" i="1"/>
  <c r="E16" i="1" s="1"/>
  <c r="E31" i="1"/>
  <c r="D17" i="1"/>
  <c r="E17" i="1" s="1"/>
  <c r="D24" i="1"/>
  <c r="E24" i="1" s="1"/>
  <c r="D29" i="1"/>
  <c r="E29" i="1" s="1"/>
  <c r="G6" i="1"/>
  <c r="J6" i="1" s="1"/>
  <c r="D18" i="1"/>
  <c r="E18" i="1" s="1"/>
  <c r="K12" i="1"/>
  <c r="E12" i="1"/>
  <c r="B9" i="4"/>
  <c r="D9" i="4" s="1"/>
  <c r="E9" i="4" s="1"/>
  <c r="H11" i="2"/>
  <c r="H19" i="2"/>
  <c r="H27" i="2"/>
  <c r="H35" i="2"/>
  <c r="H43" i="2"/>
  <c r="H51" i="2"/>
  <c r="H59" i="2"/>
  <c r="H14" i="2"/>
  <c r="H22" i="2"/>
  <c r="H30" i="2"/>
  <c r="H38" i="2"/>
  <c r="H46" i="2"/>
  <c r="H54" i="2"/>
  <c r="H62" i="2"/>
  <c r="B10" i="4"/>
  <c r="D10" i="4" s="1"/>
  <c r="E10" i="4" s="1"/>
  <c r="H10" i="2"/>
  <c r="H18" i="2"/>
  <c r="H26" i="2"/>
  <c r="H34" i="2"/>
  <c r="H42" i="2"/>
  <c r="H50" i="2"/>
  <c r="H58" i="2"/>
  <c r="B3" i="4" l="1"/>
  <c r="K15" i="1" s="1"/>
  <c r="K13" i="1"/>
</calcChain>
</file>

<file path=xl/sharedStrings.xml><?xml version="1.0" encoding="utf-8"?>
<sst xmlns="http://schemas.openxmlformats.org/spreadsheetml/2006/main" count="607" uniqueCount="104">
  <si>
    <t>YTD Budget</t>
  </si>
  <si>
    <t>YTD Actual</t>
  </si>
  <si>
    <t>YTD Variance</t>
  </si>
  <si>
    <t>Variance %</t>
  </si>
  <si>
    <t>Category Variance | Year-to-Date</t>
  </si>
  <si>
    <t>Management Attention</t>
  </si>
  <si>
    <t>Category</t>
  </si>
  <si>
    <t>Budget ($)</t>
  </si>
  <si>
    <t>Actual ($)</t>
  </si>
  <si>
    <t>Variance ($)</t>
  </si>
  <si>
    <t>Metric</t>
  </si>
  <si>
    <t>Value</t>
  </si>
  <si>
    <t>Payroll</t>
  </si>
  <si>
    <t>Over-budget categories</t>
  </si>
  <si>
    <t>Occupancy</t>
  </si>
  <si>
    <t>Largest unfavorable variance</t>
  </si>
  <si>
    <t>Marketing</t>
  </si>
  <si>
    <t>Actuals loaded / expected</t>
  </si>
  <si>
    <t>Technology</t>
  </si>
  <si>
    <t>Model status</t>
  </si>
  <si>
    <t>Travel</t>
  </si>
  <si>
    <t>Professional Fees</t>
  </si>
  <si>
    <t>Office &amp; Admin</t>
  </si>
  <si>
    <t>Other</t>
  </si>
  <si>
    <t>Monthly Budget vs Actual | Trend</t>
  </si>
  <si>
    <t>Month</t>
  </si>
  <si>
    <t>Decision rule: For expense lines, a positive variance is favorable (actual spend is below budget). Review red cells before distribution.</t>
  </si>
  <si>
    <t>Budget vs Actual | Data Entry</t>
  </si>
  <si>
    <t>Replace the illustrative data before circulation. Pale yellow / blue text = editable input; black text = formula. All amounts are in the reporting currency.</t>
  </si>
  <si>
    <t>Expense variance convention: Budget − Actual. Positive variance is favorable; negative variance is an overspend.</t>
  </si>
  <si>
    <t>Department</t>
  </si>
  <si>
    <t>Cost Center</t>
  </si>
  <si>
    <t>Status</t>
  </si>
  <si>
    <t>Comment / Owner</t>
  </si>
  <si>
    <t>People</t>
  </si>
  <si>
    <t>PEO-001</t>
  </si>
  <si>
    <t>Within plan | Finance</t>
  </si>
  <si>
    <t>Operations</t>
  </si>
  <si>
    <t>OPE-001</t>
  </si>
  <si>
    <t>MAR-001</t>
  </si>
  <si>
    <t>Investigate overspend | Finance</t>
  </si>
  <si>
    <t>TEC-001</t>
  </si>
  <si>
    <t>Sales</t>
  </si>
  <si>
    <t>SAL-001</t>
  </si>
  <si>
    <t>G&amp;A</t>
  </si>
  <si>
    <t>G&amp;A-001</t>
  </si>
  <si>
    <t>Awaiting actuals | Finance</t>
  </si>
  <si>
    <t>Tracker Setup &amp; Controls</t>
  </si>
  <si>
    <t>Client / Entity Name</t>
  </si>
  <si>
    <t>[Client Name]</t>
  </si>
  <si>
    <t>Validation Lists</t>
  </si>
  <si>
    <t>Reporting Currency</t>
  </si>
  <si>
    <t>USD</t>
  </si>
  <si>
    <t>Departments</t>
  </si>
  <si>
    <t>Categories</t>
  </si>
  <si>
    <t>Fiscal Year Start</t>
  </si>
  <si>
    <t>Actuals Through</t>
  </si>
  <si>
    <t>Prepared By</t>
  </si>
  <si>
    <t>Finance Team</t>
  </si>
  <si>
    <t>Version</t>
  </si>
  <si>
    <t>v1.0</t>
  </si>
  <si>
    <t>Data Status</t>
  </si>
  <si>
    <t>Illustrative template — replace before circulation</t>
  </si>
  <si>
    <t>Refresh Workflow</t>
  </si>
  <si>
    <t>1. Update client details and reporting controls above.</t>
  </si>
  <si>
    <t>2. Replace the illustrative, pale-yellow input rows in Data Entry with client actuals and approved budgets.</t>
  </si>
  <si>
    <t>3. Use the first day of each month for every record and refresh the Actuals Through date.</t>
  </si>
  <si>
    <t>4. Review Dashboard and Checks before sharing. Positive expense variance = favorable (spend below budget).</t>
  </si>
  <si>
    <t>Model Checks &amp; Controls</t>
  </si>
  <si>
    <t>MODEL STATUS</t>
  </si>
  <si>
    <t>Check</t>
  </si>
  <si>
    <t>Actual</t>
  </si>
  <si>
    <t>Expected</t>
  </si>
  <si>
    <t>Delta</t>
  </si>
  <si>
    <t>Where to Fix / Notes</t>
  </si>
  <si>
    <t>Budget entries populated</t>
  </si>
  <si>
    <t>Complete budget values for every active input row.</t>
  </si>
  <si>
    <t>Actual entries through reporting date</t>
  </si>
  <si>
    <t>Load all actuals dated on or before Actuals Through.</t>
  </si>
  <si>
    <t>Variance formulas complete</t>
  </si>
  <si>
    <t>Copy the formula columns when adding input rows outside the prepared table.</t>
  </si>
  <si>
    <t>Dashboard YTD tie-out</t>
  </si>
  <si>
    <t>Review Dashboard formulas and the Data Entry date range.</t>
  </si>
  <si>
    <t>Budget vs Actual Tracker | Client Guide</t>
  </si>
  <si>
    <t>Purpose</t>
  </si>
  <si>
    <t>A client-ready monthly expense tracker with an executive dashboard, controlled data-entry area, visible data quality checks, and a clear favorable / unfavorable variance convention.</t>
  </si>
  <si>
    <t>Use It in Four Steps</t>
  </si>
  <si>
    <t>1</t>
  </si>
  <si>
    <t>Update Client / Entity Name, currency, dates, preparer, and version on Setup.</t>
  </si>
  <si>
    <t>2</t>
  </si>
  <si>
    <t>Replace the illustrative Data Entry values with approved budgets and actual spending.</t>
  </si>
  <si>
    <t>3</t>
  </si>
  <si>
    <t>Set Actuals Through on Setup once the monthly close is complete.</t>
  </si>
  <si>
    <t>4</t>
  </si>
  <si>
    <t>Review Dashboard insights and confirm every control on Checks is PASS.</t>
  </si>
  <si>
    <t>Color Legend</t>
  </si>
  <si>
    <t>Pale yellow / blue text</t>
  </si>
  <si>
    <t>Editable client inputs</t>
  </si>
  <si>
    <t>Black text</t>
  </si>
  <si>
    <t>Formulas and calculated outputs</t>
  </si>
  <si>
    <t>Green text</t>
  </si>
  <si>
    <t>References to other sheets in this workbook</t>
  </si>
  <si>
    <t>Variance Convention</t>
  </si>
  <si>
    <t>This tracker is configured for operating expenses: Variance = Budget − Actual. Positive values are favorable (spend below budget); negative values are unfavorable (spend above budget).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</si>
</sst>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yyyy"/>
    <numFmt numFmtId="165" formatCode="\$#,##0;[Red]\(\$#,##0\);\-"/>
    <numFmt numFmtId="166" formatCode="0.0%;[Red]\(0.0%\);\-"/>
    <numFmt numFmtId="167" formatCode="#,##0;[Red]\(#,##0\);\-"/>
  </numFmts>
  <fonts count="17">
    <font>
      <sz val="11"/>
      <name val="Carlito"/>
    </font>
    <font>
      <b/>
      <sz val="16"/>
      <color rgb="FFFFFFFF"/>
      <name val="Carlito"/>
    </font>
    <font>
      <b/>
      <sz val="11"/>
      <color rgb="FF595959"/>
      <name val="Carlito"/>
    </font>
    <font>
      <sz val="11"/>
      <color rgb="FF0000FF"/>
      <name val="Carlito"/>
    </font>
    <font>
      <b/>
      <sz val="11"/>
      <color rgb="FFFFFFFF"/>
      <name val="Carlito"/>
    </font>
    <font>
      <sz val="11"/>
      <color rgb="FF595959"/>
      <name val="Carlito"/>
    </font>
    <font>
      <i/>
      <sz val="11"/>
      <color rgb="FF595959"/>
      <name val="Carlito"/>
    </font>
    <font>
      <sz val="11"/>
      <color rgb="FF000000"/>
      <name val="Carlito"/>
    </font>
    <font>
      <b/>
      <sz val="18"/>
      <color rgb="FFFFFFFF"/>
      <name val="Carlito"/>
    </font>
    <font>
      <i/>
      <sz val="11"/>
      <color rgb="FF008000"/>
      <name val="Carlito"/>
    </font>
    <font>
      <b/>
      <sz val="16"/>
      <color rgb="FF008000"/>
      <name val="Carlito"/>
    </font>
    <font>
      <b/>
      <sz val="16"/>
      <color rgb="FF000000"/>
      <name val="Carlito"/>
    </font>
    <font>
      <sz val="11"/>
      <color rgb="FF008000"/>
      <name val="Carlito"/>
    </font>
    <font>
      <b/>
      <sz val="11"/>
      <color rgb="FF000000"/>
      <name val="Carlito"/>
    </font>
    <font>
      <b/>
      <sz val="13"/>
      <color rgb="FF000000"/>
      <name val="Carlito"/>
    </font>
    <font>
      <b/>
      <sz val="11"/>
      <color rgb="FF0000FF"/>
      <name val="Carlito"/>
    </font>
    <font>
      <b/>
      <sz val="11"/>
      <color rgb="FF008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2F0D9"/>
      </patternFill>
    </fill>
  </fills>
  <borders count="22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 style="thin">
        <color rgb="FFD9E2F3"/>
      </left>
      <right/>
      <top/>
      <bottom style="thin">
        <color rgb="FFE7E6E6"/>
      </bottom>
      <diagonal/>
    </border>
    <border>
      <left style="thin">
        <color rgb="FFD9E2F3"/>
      </left>
      <right/>
      <top style="thin">
        <color rgb="FFE7E6E6"/>
      </top>
      <bottom style="thin">
        <color rgb="FFE7E6E6"/>
      </bottom>
      <diagonal/>
    </border>
    <border>
      <left style="thin">
        <color rgb="FFD9E2F3"/>
      </left>
      <right/>
      <top style="thin">
        <color rgb="FFE7E6E6"/>
      </top>
      <bottom/>
      <diagonal/>
    </border>
    <border>
      <left/>
      <right/>
      <top style="thin">
        <color rgb="FFE7E6E6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E7E6E6"/>
      </bottom>
      <diagonal/>
    </border>
    <border>
      <left/>
      <right/>
      <top style="thin">
        <color rgb="FFD9E2F3"/>
      </top>
      <bottom style="thin">
        <color rgb="FFE7E6E6"/>
      </bottom>
      <diagonal/>
    </border>
    <border>
      <left/>
      <right style="thin">
        <color rgb="FFD9E2F3"/>
      </right>
      <top style="thin">
        <color rgb="FFD9E2F3"/>
      </top>
      <bottom style="thin">
        <color rgb="FFE7E6E6"/>
      </bottom>
      <diagonal/>
    </border>
    <border>
      <left/>
      <right style="thin">
        <color rgb="FFD9E2F3"/>
      </right>
      <top style="thin">
        <color rgb="FFE7E6E6"/>
      </top>
      <bottom style="thin">
        <color rgb="FFE7E6E6"/>
      </bottom>
      <diagonal/>
    </border>
    <border>
      <left style="thin">
        <color rgb="FFD9E2F3"/>
      </left>
      <right/>
      <top style="thin">
        <color rgb="FFE7E6E6"/>
      </top>
      <bottom style="thin">
        <color rgb="FFD9E2F3"/>
      </bottom>
      <diagonal/>
    </border>
    <border>
      <left/>
      <right/>
      <top style="thin">
        <color rgb="FFE7E6E6"/>
      </top>
      <bottom style="thin">
        <color rgb="FFD9E2F3"/>
      </bottom>
      <diagonal/>
    </border>
    <border>
      <left/>
      <right style="thin">
        <color rgb="FFD9E2F3"/>
      </right>
      <top style="thin">
        <color rgb="FFE7E6E6"/>
      </top>
      <bottom style="thin">
        <color rgb="FFD9E2F3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3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164" fontId="3" fillId="4" borderId="4" xfId="0" applyNumberFormat="1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2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5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vertical="center" wrapText="1"/>
    </xf>
    <xf numFmtId="0" fontId="3" fillId="4" borderId="9" xfId="0" applyFont="1" applyFill="1" applyBorder="1"/>
    <xf numFmtId="0" fontId="7" fillId="3" borderId="9" xfId="0" applyFont="1" applyFill="1" applyBorder="1"/>
    <xf numFmtId="0" fontId="3" fillId="4" borderId="10" xfId="0" applyFont="1" applyFill="1" applyBorder="1"/>
    <xf numFmtId="0" fontId="7" fillId="3" borderId="10" xfId="0" applyFont="1" applyFill="1" applyBorder="1"/>
    <xf numFmtId="164" fontId="3" fillId="4" borderId="9" xfId="0" applyNumberFormat="1" applyFont="1" applyFill="1" applyBorder="1"/>
    <xf numFmtId="164" fontId="3" fillId="4" borderId="10" xfId="0" applyNumberFormat="1" applyFont="1" applyFill="1" applyBorder="1"/>
    <xf numFmtId="165" fontId="3" fillId="4" borderId="9" xfId="0" applyNumberFormat="1" applyFont="1" applyFill="1" applyBorder="1"/>
    <xf numFmtId="165" fontId="7" fillId="3" borderId="9" xfId="0" applyNumberFormat="1" applyFont="1" applyFill="1" applyBorder="1"/>
    <xf numFmtId="165" fontId="3" fillId="4" borderId="10" xfId="0" applyNumberFormat="1" applyFont="1" applyFill="1" applyBorder="1"/>
    <xf numFmtId="165" fontId="7" fillId="3" borderId="10" xfId="0" applyNumberFormat="1" applyFont="1" applyFill="1" applyBorder="1"/>
    <xf numFmtId="166" fontId="7" fillId="3" borderId="9" xfId="0" applyNumberFormat="1" applyFont="1" applyFill="1" applyBorder="1"/>
    <xf numFmtId="166" fontId="7" fillId="3" borderId="10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11" xfId="0" applyBorder="1"/>
    <xf numFmtId="165" fontId="12" fillId="0" borderId="9" xfId="0" applyNumberFormat="1" applyFont="1" applyBorder="1"/>
    <xf numFmtId="165" fontId="7" fillId="0" borderId="9" xfId="0" applyNumberFormat="1" applyFont="1" applyBorder="1"/>
    <xf numFmtId="166" fontId="7" fillId="0" borderId="9" xfId="0" applyNumberFormat="1" applyFont="1" applyBorder="1"/>
    <xf numFmtId="0" fontId="0" fillId="0" borderId="12" xfId="0" applyBorder="1"/>
    <xf numFmtId="165" fontId="12" fillId="0" borderId="10" xfId="0" applyNumberFormat="1" applyFont="1" applyBorder="1"/>
    <xf numFmtId="165" fontId="7" fillId="0" borderId="10" xfId="0" applyNumberFormat="1" applyFont="1" applyBorder="1"/>
    <xf numFmtId="166" fontId="7" fillId="0" borderId="10" xfId="0" applyNumberFormat="1" applyFont="1" applyBorder="1"/>
    <xf numFmtId="0" fontId="0" fillId="0" borderId="13" xfId="0" applyBorder="1"/>
    <xf numFmtId="165" fontId="12" fillId="0" borderId="14" xfId="0" applyNumberFormat="1" applyFont="1" applyBorder="1"/>
    <xf numFmtId="165" fontId="7" fillId="0" borderId="14" xfId="0" applyNumberFormat="1" applyFont="1" applyBorder="1"/>
    <xf numFmtId="166" fontId="7" fillId="0" borderId="14" xfId="0" applyNumberFormat="1" applyFont="1" applyBorder="1"/>
    <xf numFmtId="0" fontId="0" fillId="0" borderId="10" xfId="0" applyBorder="1"/>
    <xf numFmtId="0" fontId="14" fillId="6" borderId="0" xfId="0" applyFont="1" applyFill="1" applyAlignment="1">
      <alignment horizontal="center"/>
    </xf>
    <xf numFmtId="0" fontId="0" fillId="0" borderId="2" xfId="0" applyBorder="1"/>
    <xf numFmtId="0" fontId="0" fillId="0" borderId="16" xfId="0" applyBorder="1"/>
    <xf numFmtId="0" fontId="0" fillId="0" borderId="20" xfId="0" applyBorder="1"/>
    <xf numFmtId="167" fontId="0" fillId="0" borderId="16" xfId="0" applyNumberFormat="1" applyBorder="1"/>
    <xf numFmtId="167" fontId="0" fillId="0" borderId="10" xfId="0" applyNumberFormat="1" applyBorder="1"/>
    <xf numFmtId="167" fontId="0" fillId="0" borderId="20" xfId="0" applyNumberFormat="1" applyBorder="1"/>
    <xf numFmtId="0" fontId="2" fillId="0" borderId="15" xfId="0" applyFont="1" applyBorder="1"/>
    <xf numFmtId="0" fontId="2" fillId="0" borderId="12" xfId="0" applyFont="1" applyBorder="1"/>
    <xf numFmtId="0" fontId="2" fillId="0" borderId="19" xfId="0" applyFont="1" applyBorder="1"/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1" xfId="0" applyBorder="1" applyAlignment="1">
      <alignment wrapText="1"/>
    </xf>
    <xf numFmtId="0" fontId="4" fillId="2" borderId="0" xfId="0" applyFont="1" applyFill="1" applyAlignment="1">
      <alignment horizontal="center"/>
    </xf>
    <xf numFmtId="0" fontId="15" fillId="4" borderId="1" xfId="0" applyFont="1" applyFill="1" applyBorder="1"/>
    <xf numFmtId="0" fontId="13" fillId="3" borderId="3" xfId="0" applyFont="1" applyFill="1" applyBorder="1"/>
    <xf numFmtId="0" fontId="16" fillId="6" borderId="5" xfId="0" applyFont="1" applyFill="1" applyBorder="1"/>
    <xf numFmtId="0" fontId="8" fillId="2" borderId="0" xfId="0" applyFont="1" applyFill="1" applyAlignment="1">
      <alignment horizontal="left" vertical="center"/>
    </xf>
    <xf numFmtId="0" fontId="0" fillId="0" borderId="0" xfId="0"/>
    <xf numFmtId="0" fontId="9" fillId="6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165" fontId="10" fillId="3" borderId="7" xfId="0" applyNumberFormat="1" applyFont="1" applyFill="1" applyBorder="1" applyAlignment="1">
      <alignment horizontal="center" vertical="center"/>
    </xf>
    <xf numFmtId="165" fontId="10" fillId="3" borderId="2" xfId="0" applyNumberFormat="1" applyFont="1" applyFill="1" applyBorder="1" applyAlignment="1">
      <alignment horizontal="center" vertical="center"/>
    </xf>
    <xf numFmtId="165" fontId="10" fillId="3" borderId="3" xfId="0" applyNumberFormat="1" applyFont="1" applyFill="1" applyBorder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5" fontId="10" fillId="3" borderId="4" xfId="0" applyNumberFormat="1" applyFont="1" applyFill="1" applyBorder="1" applyAlignment="1">
      <alignment horizontal="center" vertical="center"/>
    </xf>
    <xf numFmtId="165" fontId="10" fillId="3" borderId="5" xfId="0" applyNumberFormat="1" applyFont="1" applyFill="1" applyBorder="1" applyAlignment="1">
      <alignment horizontal="center" vertical="center"/>
    </xf>
    <xf numFmtId="165" fontId="10" fillId="3" borderId="8" xfId="0" applyNumberFormat="1" applyFont="1" applyFill="1" applyBorder="1" applyAlignment="1">
      <alignment horizontal="center" vertical="center"/>
    </xf>
    <xf numFmtId="165" fontId="10" fillId="3" borderId="6" xfId="0" applyNumberFormat="1" applyFont="1" applyFill="1" applyBorder="1" applyAlignment="1">
      <alignment horizontal="center" vertical="center"/>
    </xf>
    <xf numFmtId="165" fontId="11" fillId="7" borderId="1" xfId="0" applyNumberFormat="1" applyFont="1" applyFill="1" applyBorder="1" applyAlignment="1">
      <alignment horizontal="center" vertical="center"/>
    </xf>
    <xf numFmtId="165" fontId="11" fillId="7" borderId="7" xfId="0" applyNumberFormat="1" applyFont="1" applyFill="1" applyBorder="1" applyAlignment="1">
      <alignment horizontal="center" vertical="center"/>
    </xf>
    <xf numFmtId="165" fontId="11" fillId="7" borderId="2" xfId="0" applyNumberFormat="1" applyFont="1" applyFill="1" applyBorder="1" applyAlignment="1">
      <alignment horizontal="center" vertical="center"/>
    </xf>
    <xf numFmtId="165" fontId="11" fillId="7" borderId="3" xfId="0" applyNumberFormat="1" applyFont="1" applyFill="1" applyBorder="1" applyAlignment="1">
      <alignment horizontal="center" vertical="center"/>
    </xf>
    <xf numFmtId="165" fontId="11" fillId="7" borderId="0" xfId="0" applyNumberFormat="1" applyFont="1" applyFill="1" applyAlignment="1">
      <alignment horizontal="center" vertical="center"/>
    </xf>
    <xf numFmtId="165" fontId="11" fillId="7" borderId="4" xfId="0" applyNumberFormat="1" applyFont="1" applyFill="1" applyBorder="1" applyAlignment="1">
      <alignment horizontal="center" vertical="center"/>
    </xf>
    <xf numFmtId="165" fontId="11" fillId="7" borderId="5" xfId="0" applyNumberFormat="1" applyFont="1" applyFill="1" applyBorder="1" applyAlignment="1">
      <alignment horizontal="center" vertical="center"/>
    </xf>
    <xf numFmtId="165" fontId="11" fillId="7" borderId="8" xfId="0" applyNumberFormat="1" applyFont="1" applyFill="1" applyBorder="1" applyAlignment="1">
      <alignment horizontal="center" vertical="center"/>
    </xf>
    <xf numFmtId="165" fontId="11" fillId="7" borderId="6" xfId="0" applyNumberFormat="1" applyFont="1" applyFill="1" applyBorder="1" applyAlignment="1">
      <alignment horizontal="center" vertical="center"/>
    </xf>
    <xf numFmtId="166" fontId="11" fillId="3" borderId="1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2" xfId="0" applyNumberFormat="1" applyFont="1" applyFill="1" applyBorder="1" applyAlignment="1">
      <alignment horizontal="center" vertical="center"/>
    </xf>
    <xf numFmtId="166" fontId="11" fillId="3" borderId="3" xfId="0" applyNumberFormat="1" applyFont="1" applyFill="1" applyBorder="1" applyAlignment="1">
      <alignment horizontal="center" vertical="center"/>
    </xf>
    <xf numFmtId="166" fontId="11" fillId="3" borderId="0" xfId="0" applyNumberFormat="1" applyFont="1" applyFill="1" applyAlignment="1">
      <alignment horizontal="center" vertical="center"/>
    </xf>
    <xf numFmtId="166" fontId="11" fillId="3" borderId="4" xfId="0" applyNumberFormat="1" applyFont="1" applyFill="1" applyBorder="1" applyAlignment="1">
      <alignment horizontal="center" vertical="center"/>
    </xf>
    <xf numFmtId="166" fontId="11" fillId="3" borderId="5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13" fillId="6" borderId="9" xfId="0" applyFont="1" applyFill="1" applyBorder="1" applyAlignment="1">
      <alignment horizontal="center" vertical="center"/>
    </xf>
    <xf numFmtId="165" fontId="13" fillId="6" borderId="10" xfId="0" applyNumberFormat="1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 wrapText="1"/>
    </xf>
    <xf numFmtId="0" fontId="2" fillId="3" borderId="0" xfId="0" applyFont="1" applyFill="1" applyAlignment="1">
      <alignment horizontal="left"/>
    </xf>
    <xf numFmtId="0" fontId="5" fillId="6" borderId="1" xfId="0" applyFont="1" applyFill="1" applyBorder="1" applyAlignment="1">
      <alignment wrapText="1"/>
    </xf>
    <xf numFmtId="0" fontId="5" fillId="6" borderId="7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5" fillId="6" borderId="3" xfId="0" applyFont="1" applyFill="1" applyBorder="1" applyAlignment="1">
      <alignment wrapText="1"/>
    </xf>
    <xf numFmtId="0" fontId="5" fillId="6" borderId="0" xfId="0" applyFont="1" applyFill="1" applyAlignment="1">
      <alignment wrapText="1"/>
    </xf>
    <xf numFmtId="0" fontId="5" fillId="6" borderId="4" xfId="0" applyFont="1" applyFill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5" fillId="6" borderId="8" xfId="0" applyFont="1" applyFill="1" applyBorder="1" applyAlignment="1">
      <alignment wrapText="1"/>
    </xf>
    <xf numFmtId="0" fontId="5" fillId="6" borderId="6" xfId="0" applyFont="1" applyFill="1" applyBorder="1" applyAlignment="1">
      <alignment wrapText="1"/>
    </xf>
    <xf numFmtId="0" fontId="5" fillId="6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16"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57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Budget vs Actual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Budget ($)</c:v>
          </c:tx>
          <c:marker>
            <c:symbol val="none"/>
          </c:marker>
          <c:cat>
            <c:strRef>
              <c:f>Dashboard!$A$24:$A$35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Dashboard!$B$24:$B$35</c:f>
              <c:numCache>
                <c:formatCode>\$#,##0;[Red]\(\$#,##0\);\-</c:formatCode>
                <c:ptCount val="12"/>
                <c:pt idx="0">
                  <c:v>458000</c:v>
                </c:pt>
                <c:pt idx="1">
                  <c:v>448840</c:v>
                </c:pt>
                <c:pt idx="2">
                  <c:v>471740</c:v>
                </c:pt>
                <c:pt idx="3">
                  <c:v>462580</c:v>
                </c:pt>
                <c:pt idx="4">
                  <c:v>453420</c:v>
                </c:pt>
                <c:pt idx="5">
                  <c:v>476320</c:v>
                </c:pt>
                <c:pt idx="6">
                  <c:v>467160</c:v>
                </c:pt>
                <c:pt idx="7">
                  <c:v>458000</c:v>
                </c:pt>
                <c:pt idx="8">
                  <c:v>471740</c:v>
                </c:pt>
                <c:pt idx="9">
                  <c:v>462580</c:v>
                </c:pt>
                <c:pt idx="10">
                  <c:v>485480</c:v>
                </c:pt>
                <c:pt idx="11">
                  <c:v>512960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B8-4B88-B20B-DBC1E65B57C2}"/>
            </c:ext>
          </c:extLst>
        </c:ser>
        <c:ser>
          <c:idx val="1"/>
          <c:order val="1"/>
          <c:tx>
            <c:v>Actual ($)</c:v>
          </c:tx>
          <c:marker>
            <c:symbol val="none"/>
          </c:marker>
          <c:cat>
            <c:strRef>
              <c:f>Dashboard!$A$24:$A$35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Dashboard!$C$24:$C$35</c:f>
              <c:numCache>
                <c:formatCode>\$#,##0;[Red]\(\$#,##0\);\-</c:formatCode>
                <c:ptCount val="12"/>
                <c:pt idx="0">
                  <c:v>447152</c:v>
                </c:pt>
                <c:pt idx="1">
                  <c:v>461141</c:v>
                </c:pt>
                <c:pt idx="2">
                  <c:v>469057</c:v>
                </c:pt>
                <c:pt idx="3">
                  <c:v>469186</c:v>
                </c:pt>
                <c:pt idx="4">
                  <c:v>459005</c:v>
                </c:pt>
                <c:pt idx="5">
                  <c:v>491696</c:v>
                </c:pt>
                <c:pt idx="6">
                  <c:v>463146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B8-4B88-B20B-DBC1E65B5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ActualInput" displayName="BudgetActualInput" ref="A7:J127" totalsRowShown="0">
  <tableColumns count="10">
    <tableColumn id="1" xr3:uid="{00000000-0010-0000-0000-000001000000}" name="Month"/>
    <tableColumn id="2" xr3:uid="{00000000-0010-0000-0000-000002000000}" name="Department"/>
    <tableColumn id="3" xr3:uid="{00000000-0010-0000-0000-000003000000}" name="Category"/>
    <tableColumn id="4" xr3:uid="{00000000-0010-0000-0000-000004000000}" name="Cost Center"/>
    <tableColumn id="5" xr3:uid="{00000000-0010-0000-0000-000005000000}" name="Budget ($)"/>
    <tableColumn id="6" xr3:uid="{00000000-0010-0000-0000-000006000000}" name="Actual ($)"/>
    <tableColumn id="7" xr3:uid="{00000000-0010-0000-0000-000007000000}" name="Variance ($)"/>
    <tableColumn id="8" xr3:uid="{00000000-0010-0000-0000-000008000000}" name="Variance %"/>
    <tableColumn id="9" xr3:uid="{00000000-0010-0000-0000-000009000000}" name="Status"/>
    <tableColumn id="10" xr3:uid="{00000000-0010-0000-0000-00000A000000}" name="Comment /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showGridLines="0" workbookViewId="0">
      <selection activeCell="O16" sqref="O16"/>
    </sheetView>
  </sheetViews>
  <sheetFormatPr defaultRowHeight="14.25"/>
  <cols>
    <col min="1" max="1" width="22" customWidth="1"/>
    <col min="2" max="5" width="15" customWidth="1"/>
    <col min="6" max="6" width="3" customWidth="1"/>
    <col min="7" max="10" width="16" customWidth="1"/>
    <col min="11" max="12" width="13" customWidth="1"/>
  </cols>
  <sheetData>
    <row r="1" spans="1:12" ht="27.95" customHeight="1">
      <c r="A1" s="62" t="str">
        <f>Setup!$B$3&amp;" | Budget vs Actual Tracker"</f>
        <v>[Client Name] | Budget vs Actual Tracker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 ht="17.25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>
      <c r="A3" s="64" t="str">
        <f>"FY"&amp;YEAR(Setup!$B$5)&amp;" | Actuals through "&amp;TEXT(Setup!$B$6,"mmm yyyy")</f>
        <v>FY2026 | Actuals through Jul 2026</v>
      </c>
      <c r="B3" s="64"/>
      <c r="C3" s="64"/>
      <c r="D3" s="64"/>
      <c r="E3" s="64"/>
      <c r="F3" s="64" t="str">
        <f>"Currency: "&amp;Setup!$B$4</f>
        <v>Currency: USD</v>
      </c>
      <c r="G3" s="64"/>
      <c r="H3" s="64"/>
      <c r="I3" s="64" t="str">
        <f>"Version "&amp;Setup!$B$8&amp;" | "&amp;Setup!$B$7</f>
        <v>Version v1.0 | Finance Team</v>
      </c>
      <c r="J3" s="64"/>
      <c r="K3" s="64"/>
      <c r="L3" s="64"/>
    </row>
    <row r="5" spans="1:12" ht="21.95" customHeight="1">
      <c r="A5" s="65" t="s">
        <v>0</v>
      </c>
      <c r="B5" s="65"/>
      <c r="C5" s="65"/>
      <c r="D5" s="65" t="s">
        <v>1</v>
      </c>
      <c r="E5" s="65"/>
      <c r="F5" s="65"/>
      <c r="G5" s="65" t="s">
        <v>2</v>
      </c>
      <c r="H5" s="65"/>
      <c r="I5" s="65"/>
      <c r="J5" s="65" t="s">
        <v>3</v>
      </c>
      <c r="K5" s="65"/>
      <c r="L5" s="65"/>
    </row>
    <row r="6" spans="1:12" ht="24.95" customHeight="1">
      <c r="A6" s="66">
        <f>SUMIFS('Data Entry'!$E$8:$E$127,'Data Entry'!$A$8:$A$127,"&lt;="&amp;Setup!$B$6)</f>
        <v>3238060</v>
      </c>
      <c r="B6" s="67"/>
      <c r="C6" s="68"/>
      <c r="D6" s="66">
        <f>SUMIFS('Data Entry'!$F$8:$F$127,'Data Entry'!$A$8:$A$127,"&lt;="&amp;Setup!$B$6)</f>
        <v>3260383</v>
      </c>
      <c r="E6" s="67"/>
      <c r="F6" s="68"/>
      <c r="G6" s="75">
        <f>A6-D6</f>
        <v>-22323</v>
      </c>
      <c r="H6" s="76"/>
      <c r="I6" s="77"/>
      <c r="J6" s="84">
        <f>IFERROR(G6/A6,"")</f>
        <v>-6.8939426693761076E-3</v>
      </c>
      <c r="K6" s="85"/>
      <c r="L6" s="86"/>
    </row>
    <row r="7" spans="1:12" ht="24.95" customHeight="1">
      <c r="A7" s="69"/>
      <c r="B7" s="70"/>
      <c r="C7" s="71"/>
      <c r="D7" s="69"/>
      <c r="E7" s="70"/>
      <c r="F7" s="71"/>
      <c r="G7" s="78"/>
      <c r="H7" s="79"/>
      <c r="I7" s="80"/>
      <c r="J7" s="87"/>
      <c r="K7" s="88"/>
      <c r="L7" s="89"/>
    </row>
    <row r="8" spans="1:12" ht="16.5" customHeight="1">
      <c r="A8" s="72"/>
      <c r="B8" s="73"/>
      <c r="C8" s="74"/>
      <c r="D8" s="72"/>
      <c r="E8" s="73"/>
      <c r="F8" s="74"/>
      <c r="G8" s="81"/>
      <c r="H8" s="82"/>
      <c r="I8" s="83"/>
      <c r="J8" s="90"/>
      <c r="K8" s="91"/>
      <c r="L8" s="92"/>
    </row>
    <row r="10" spans="1:12" ht="21.95" customHeight="1">
      <c r="A10" s="93" t="s">
        <v>4</v>
      </c>
      <c r="B10" s="93" t="s">
        <v>4</v>
      </c>
      <c r="C10" s="93" t="s">
        <v>4</v>
      </c>
      <c r="D10" s="93" t="s">
        <v>4</v>
      </c>
      <c r="E10" s="93" t="s">
        <v>4</v>
      </c>
      <c r="G10" s="93" t="s">
        <v>5</v>
      </c>
      <c r="H10" s="93" t="s">
        <v>5</v>
      </c>
      <c r="I10" s="93" t="s">
        <v>5</v>
      </c>
      <c r="J10" s="93" t="s">
        <v>5</v>
      </c>
      <c r="K10" s="93" t="s">
        <v>5</v>
      </c>
      <c r="L10" s="93" t="s">
        <v>5</v>
      </c>
    </row>
    <row r="11" spans="1:12" ht="15">
      <c r="A11" s="29" t="s">
        <v>6</v>
      </c>
      <c r="B11" s="30" t="s">
        <v>7</v>
      </c>
      <c r="C11" s="30" t="s">
        <v>8</v>
      </c>
      <c r="D11" s="30" t="s">
        <v>9</v>
      </c>
      <c r="E11" s="31" t="s">
        <v>3</v>
      </c>
      <c r="G11" s="94" t="s">
        <v>10</v>
      </c>
      <c r="H11" s="95"/>
      <c r="I11" s="95"/>
      <c r="J11" s="95"/>
      <c r="K11" s="95" t="s">
        <v>11</v>
      </c>
      <c r="L11" s="96"/>
    </row>
    <row r="12" spans="1:12" ht="15">
      <c r="A12" s="32" t="s">
        <v>12</v>
      </c>
      <c r="B12" s="33">
        <f>SUMIFS('Data Entry'!$E$8:$E$127,'Data Entry'!$A$8:$A$127,"&lt;="&amp;Setup!$B$6,'Data Entry'!$C$8:$C$127,A12)</f>
        <v>1414000</v>
      </c>
      <c r="C12" s="33">
        <f>SUMIFS('Data Entry'!$F$8:$F$127,'Data Entry'!$A$8:$A$127,"&lt;="&amp;Setup!$B$6,'Data Entry'!$C$8:$C$127,A12)</f>
        <v>1416676</v>
      </c>
      <c r="D12" s="34">
        <f t="shared" ref="D12:D19" si="0">B12-C12</f>
        <v>-2676</v>
      </c>
      <c r="E12" s="35">
        <f t="shared" ref="E12:E19" si="1">IFERROR(D12/B12,"")</f>
        <v>-1.8925035360678926E-3</v>
      </c>
      <c r="G12" s="97" t="s">
        <v>13</v>
      </c>
      <c r="H12" s="98"/>
      <c r="I12" s="98"/>
      <c r="J12" s="98"/>
      <c r="K12" s="103">
        <f>COUNTIF(D12:D19,"&lt;0")</f>
        <v>8</v>
      </c>
      <c r="L12" s="103"/>
    </row>
    <row r="13" spans="1:12" ht="15">
      <c r="A13" s="36" t="s">
        <v>14</v>
      </c>
      <c r="B13" s="37">
        <f>SUMIFS('Data Entry'!$E$8:$E$127,'Data Entry'!$A$8:$A$127,"&lt;="&amp;Setup!$B$6,'Data Entry'!$C$8:$C$127,A13)</f>
        <v>424200</v>
      </c>
      <c r="C13" s="37">
        <f>SUMIFS('Data Entry'!$F$8:$F$127,'Data Entry'!$A$8:$A$127,"&lt;="&amp;Setup!$B$6,'Data Entry'!$C$8:$C$127,A13)</f>
        <v>427984</v>
      </c>
      <c r="D13" s="38">
        <f t="shared" si="0"/>
        <v>-3784</v>
      </c>
      <c r="E13" s="39">
        <f t="shared" si="1"/>
        <v>-8.920320603488921E-3</v>
      </c>
      <c r="G13" s="99" t="s">
        <v>15</v>
      </c>
      <c r="H13" s="100"/>
      <c r="I13" s="100"/>
      <c r="J13" s="100"/>
      <c r="K13" s="104">
        <f>MIN(D12:D19)</f>
        <v>-9063</v>
      </c>
      <c r="L13" s="104"/>
    </row>
    <row r="14" spans="1:12" ht="15">
      <c r="A14" s="36" t="s">
        <v>16</v>
      </c>
      <c r="B14" s="37">
        <f>SUMIFS('Data Entry'!$E$8:$E$127,'Data Entry'!$A$8:$A$127,"&lt;="&amp;Setup!$B$6,'Data Entry'!$C$8:$C$127,A14)</f>
        <v>530250</v>
      </c>
      <c r="C14" s="37">
        <f>SUMIFS('Data Entry'!$F$8:$F$127,'Data Entry'!$A$8:$A$127,"&lt;="&amp;Setup!$B$6,'Data Entry'!$C$8:$C$127,A14)</f>
        <v>539313</v>
      </c>
      <c r="D14" s="38">
        <f t="shared" si="0"/>
        <v>-9063</v>
      </c>
      <c r="E14" s="39">
        <f t="shared" si="1"/>
        <v>-1.7091937765205092E-2</v>
      </c>
      <c r="G14" s="99" t="s">
        <v>17</v>
      </c>
      <c r="H14" s="100"/>
      <c r="I14" s="100"/>
      <c r="J14" s="100"/>
      <c r="K14" s="105" t="str">
        <f>COUNTIFS('Data Entry'!$A$8:$A$127,"&lt;&gt;",'Data Entry'!$A$8:$A$127,"&lt;="&amp;Setup!$B$6,'Data Entry'!$F$8:$F$127,"&lt;&gt;")&amp;" / "&amp;COUNTIFS('Data Entry'!$A$8:$A$127,"&lt;&gt;",'Data Entry'!$A$8:$A$127,"&lt;="&amp;Setup!$B$6)</f>
        <v>56 / 56</v>
      </c>
      <c r="L14" s="105"/>
    </row>
    <row r="15" spans="1:12" ht="15">
      <c r="A15" s="36" t="s">
        <v>18</v>
      </c>
      <c r="B15" s="37">
        <f>SUMIFS('Data Entry'!$E$8:$E$127,'Data Entry'!$A$8:$A$127,"&lt;="&amp;Setup!$B$6,'Data Entry'!$C$8:$C$127,A15)</f>
        <v>318150</v>
      </c>
      <c r="C15" s="37">
        <f>SUMIFS('Data Entry'!$F$8:$F$127,'Data Entry'!$A$8:$A$127,"&lt;="&amp;Setup!$B$6,'Data Entry'!$C$8:$C$127,A15)</f>
        <v>318753</v>
      </c>
      <c r="D15" s="38">
        <f t="shared" si="0"/>
        <v>-603</v>
      </c>
      <c r="E15" s="39">
        <f t="shared" si="1"/>
        <v>-1.8953323903818954E-3</v>
      </c>
      <c r="G15" s="101" t="s">
        <v>19</v>
      </c>
      <c r="H15" s="102"/>
      <c r="I15" s="102"/>
      <c r="J15" s="102"/>
      <c r="K15" s="106" t="str">
        <f>Checks!$B$3</f>
        <v>PASS</v>
      </c>
      <c r="L15" s="106"/>
    </row>
    <row r="16" spans="1:12">
      <c r="A16" s="36" t="s">
        <v>20</v>
      </c>
      <c r="B16" s="37">
        <f>SUMIFS('Data Entry'!$E$8:$E$127,'Data Entry'!$A$8:$A$127,"&lt;="&amp;Setup!$B$6,'Data Entry'!$C$8:$C$127,A16)</f>
        <v>127260</v>
      </c>
      <c r="C16" s="37">
        <f>SUMIFS('Data Entry'!$F$8:$F$127,'Data Entry'!$A$8:$A$127,"&lt;="&amp;Setup!$B$6,'Data Entry'!$C$8:$C$127,A16)</f>
        <v>128395</v>
      </c>
      <c r="D16" s="38">
        <f t="shared" si="0"/>
        <v>-1135</v>
      </c>
      <c r="E16" s="39">
        <f t="shared" si="1"/>
        <v>-8.9187490177589195E-3</v>
      </c>
    </row>
    <row r="17" spans="1:5">
      <c r="A17" s="36" t="s">
        <v>21</v>
      </c>
      <c r="B17" s="37">
        <f>SUMIFS('Data Entry'!$E$8:$E$127,'Data Entry'!$A$8:$A$127,"&lt;="&amp;Setup!$B$6,'Data Entry'!$C$8:$C$127,A17)</f>
        <v>247450</v>
      </c>
      <c r="C17" s="37">
        <f>SUMIFS('Data Entry'!$F$8:$F$127,'Data Entry'!$A$8:$A$127,"&lt;="&amp;Setup!$B$6,'Data Entry'!$C$8:$C$127,A17)</f>
        <v>251680</v>
      </c>
      <c r="D17" s="38">
        <f t="shared" si="0"/>
        <v>-4230</v>
      </c>
      <c r="E17" s="39">
        <f t="shared" si="1"/>
        <v>-1.7094362497474237E-2</v>
      </c>
    </row>
    <row r="18" spans="1:5">
      <c r="A18" s="36" t="s">
        <v>22</v>
      </c>
      <c r="B18" s="37">
        <f>SUMIFS('Data Entry'!$E$8:$E$127,'Data Entry'!$A$8:$A$127,"&lt;="&amp;Setup!$B$6,'Data Entry'!$C$8:$C$127,A18)</f>
        <v>106050</v>
      </c>
      <c r="C18" s="37">
        <f>SUMIFS('Data Entry'!$F$8:$F$127,'Data Entry'!$A$8:$A$127,"&lt;="&amp;Setup!$B$6,'Data Entry'!$C$8:$C$127,A18)</f>
        <v>106251</v>
      </c>
      <c r="D18" s="38">
        <f t="shared" si="0"/>
        <v>-201</v>
      </c>
      <c r="E18" s="39">
        <f t="shared" si="1"/>
        <v>-1.8953323903818954E-3</v>
      </c>
    </row>
    <row r="19" spans="1:5">
      <c r="A19" s="40" t="s">
        <v>23</v>
      </c>
      <c r="B19" s="41">
        <f>SUMIFS('Data Entry'!$E$8:$E$127,'Data Entry'!$A$8:$A$127,"&lt;="&amp;Setup!$B$6,'Data Entry'!$C$8:$C$127,A19)</f>
        <v>70700</v>
      </c>
      <c r="C19" s="41">
        <f>SUMIFS('Data Entry'!$F$8:$F$127,'Data Entry'!$A$8:$A$127,"&lt;="&amp;Setup!$B$6,'Data Entry'!$C$8:$C$127,A19)</f>
        <v>71331</v>
      </c>
      <c r="D19" s="42">
        <f t="shared" si="0"/>
        <v>-631</v>
      </c>
      <c r="E19" s="43">
        <f t="shared" si="1"/>
        <v>-8.9250353606789255E-3</v>
      </c>
    </row>
    <row r="22" spans="1:5" ht="21.95" customHeight="1">
      <c r="A22" s="93" t="s">
        <v>24</v>
      </c>
      <c r="B22" s="93" t="s">
        <v>24</v>
      </c>
      <c r="C22" s="93" t="s">
        <v>24</v>
      </c>
      <c r="D22" s="93" t="s">
        <v>24</v>
      </c>
      <c r="E22" s="93" t="s">
        <v>24</v>
      </c>
    </row>
    <row r="23" spans="1:5" ht="15">
      <c r="A23" s="29" t="s">
        <v>25</v>
      </c>
      <c r="B23" s="30" t="s">
        <v>7</v>
      </c>
      <c r="C23" s="30" t="s">
        <v>8</v>
      </c>
      <c r="D23" s="30" t="s">
        <v>9</v>
      </c>
      <c r="E23" s="31" t="s">
        <v>3</v>
      </c>
    </row>
    <row r="24" spans="1:5">
      <c r="A24" s="32" t="str">
        <f>TEXT(DATE(YEAR(Setup!$B$5),MONTH(Setup!$B$5)+ROW()-24,1),"mmm yyyy")</f>
        <v>Jan 2026</v>
      </c>
      <c r="B24" s="33">
        <f>SUMIFS('Data Entry'!$E$8:$E$127,'Data Entry'!$A$8:$A$127,DATE(YEAR(Setup!$B$5),MONTH(Setup!$B$5)+ROW()-24,1))</f>
        <v>458000</v>
      </c>
      <c r="C24" s="33">
        <f>IF(DATE(YEAR(Setup!$B$5),MONTH(Setup!$B$5)+ROW()-24,1)&lt;=Setup!$B$6,SUMIFS('Data Entry'!$F$8:$F$127,'Data Entry'!$A$8:$A$127,DATE(YEAR(Setup!$B$5),MONTH(Setup!$B$5)+ROW()-24,1)),"")</f>
        <v>447152</v>
      </c>
      <c r="D24" s="34">
        <f t="shared" ref="D24:D35" si="2">IF(C24="","",B24-C24)</f>
        <v>10848</v>
      </c>
      <c r="E24" s="35">
        <f t="shared" ref="E24:E35" si="3">IFERROR(D24/B24,"")</f>
        <v>2.3685589519650656E-2</v>
      </c>
    </row>
    <row r="25" spans="1:5">
      <c r="A25" s="36" t="str">
        <f>TEXT(DATE(YEAR(Setup!$B$5),MONTH(Setup!$B$5)+ROW()-24,1),"mmm yyyy")</f>
        <v>Feb 2026</v>
      </c>
      <c r="B25" s="37">
        <f>SUMIFS('Data Entry'!$E$8:$E$127,'Data Entry'!$A$8:$A$127,DATE(YEAR(Setup!$B$5),MONTH(Setup!$B$5)+ROW()-24,1))</f>
        <v>448840</v>
      </c>
      <c r="C25" s="37">
        <f>IF(DATE(YEAR(Setup!$B$5),MONTH(Setup!$B$5)+ROW()-24,1)&lt;=Setup!$B$6,SUMIFS('Data Entry'!$F$8:$F$127,'Data Entry'!$A$8:$A$127,DATE(YEAR(Setup!$B$5),MONTH(Setup!$B$5)+ROW()-24,1)),"")</f>
        <v>461141</v>
      </c>
      <c r="D25" s="38">
        <f t="shared" si="2"/>
        <v>-12301</v>
      </c>
      <c r="E25" s="39">
        <f t="shared" si="3"/>
        <v>-2.7406202655734783E-2</v>
      </c>
    </row>
    <row r="26" spans="1:5">
      <c r="A26" s="36" t="str">
        <f>TEXT(DATE(YEAR(Setup!$B$5),MONTH(Setup!$B$5)+ROW()-24,1),"mmm yyyy")</f>
        <v>Mar 2026</v>
      </c>
      <c r="B26" s="37">
        <f>SUMIFS('Data Entry'!$E$8:$E$127,'Data Entry'!$A$8:$A$127,DATE(YEAR(Setup!$B$5),MONTH(Setup!$B$5)+ROW()-24,1))</f>
        <v>471740</v>
      </c>
      <c r="C26" s="37">
        <f>IF(DATE(YEAR(Setup!$B$5),MONTH(Setup!$B$5)+ROW()-24,1)&lt;=Setup!$B$6,SUMIFS('Data Entry'!$F$8:$F$127,'Data Entry'!$A$8:$A$127,DATE(YEAR(Setup!$B$5),MONTH(Setup!$B$5)+ROW()-24,1)),"")</f>
        <v>469057</v>
      </c>
      <c r="D26" s="38">
        <f t="shared" si="2"/>
        <v>2683</v>
      </c>
      <c r="E26" s="39">
        <f t="shared" si="3"/>
        <v>5.6874549540000844E-3</v>
      </c>
    </row>
    <row r="27" spans="1:5">
      <c r="A27" s="36" t="str">
        <f>TEXT(DATE(YEAR(Setup!$B$5),MONTH(Setup!$B$5)+ROW()-24,1),"mmm yyyy")</f>
        <v>Apr 2026</v>
      </c>
      <c r="B27" s="37">
        <f>SUMIFS('Data Entry'!$E$8:$E$127,'Data Entry'!$A$8:$A$127,DATE(YEAR(Setup!$B$5),MONTH(Setup!$B$5)+ROW()-24,1))</f>
        <v>462580</v>
      </c>
      <c r="C27" s="37">
        <f>IF(DATE(YEAR(Setup!$B$5),MONTH(Setup!$B$5)+ROW()-24,1)&lt;=Setup!$B$6,SUMIFS('Data Entry'!$F$8:$F$127,'Data Entry'!$A$8:$A$127,DATE(YEAR(Setup!$B$5),MONTH(Setup!$B$5)+ROW()-24,1)),"")</f>
        <v>469186</v>
      </c>
      <c r="D27" s="38">
        <f t="shared" si="2"/>
        <v>-6606</v>
      </c>
      <c r="E27" s="39">
        <f t="shared" si="3"/>
        <v>-1.4280773055471487E-2</v>
      </c>
    </row>
    <row r="28" spans="1:5">
      <c r="A28" s="36" t="str">
        <f>TEXT(DATE(YEAR(Setup!$B$5),MONTH(Setup!$B$5)+ROW()-24,1),"mmm yyyy")</f>
        <v>May 2026</v>
      </c>
      <c r="B28" s="37">
        <f>SUMIFS('Data Entry'!$E$8:$E$127,'Data Entry'!$A$8:$A$127,DATE(YEAR(Setup!$B$5),MONTH(Setup!$B$5)+ROW()-24,1))</f>
        <v>453420</v>
      </c>
      <c r="C28" s="37">
        <f>IF(DATE(YEAR(Setup!$B$5),MONTH(Setup!$B$5)+ROW()-24,1)&lt;=Setup!$B$6,SUMIFS('Data Entry'!$F$8:$F$127,'Data Entry'!$A$8:$A$127,DATE(YEAR(Setup!$B$5),MONTH(Setup!$B$5)+ROW()-24,1)),"")</f>
        <v>459005</v>
      </c>
      <c r="D28" s="38">
        <f t="shared" si="2"/>
        <v>-5585</v>
      </c>
      <c r="E28" s="39">
        <f t="shared" si="3"/>
        <v>-1.2317498125358387E-2</v>
      </c>
    </row>
    <row r="29" spans="1:5">
      <c r="A29" s="36" t="str">
        <f>TEXT(DATE(YEAR(Setup!$B$5),MONTH(Setup!$B$5)+ROW()-24,1),"mmm yyyy")</f>
        <v>Jun 2026</v>
      </c>
      <c r="B29" s="37">
        <f>SUMIFS('Data Entry'!$E$8:$E$127,'Data Entry'!$A$8:$A$127,DATE(YEAR(Setup!$B$5),MONTH(Setup!$B$5)+ROW()-24,1))</f>
        <v>476320</v>
      </c>
      <c r="C29" s="37">
        <f>IF(DATE(YEAR(Setup!$B$5),MONTH(Setup!$B$5)+ROW()-24,1)&lt;=Setup!$B$6,SUMIFS('Data Entry'!$F$8:$F$127,'Data Entry'!$A$8:$A$127,DATE(YEAR(Setup!$B$5),MONTH(Setup!$B$5)+ROW()-24,1)),"")</f>
        <v>491696</v>
      </c>
      <c r="D29" s="38">
        <f t="shared" si="2"/>
        <v>-15376</v>
      </c>
      <c r="E29" s="39">
        <f t="shared" si="3"/>
        <v>-3.2280819617064159E-2</v>
      </c>
    </row>
    <row r="30" spans="1:5">
      <c r="A30" s="36" t="str">
        <f>TEXT(DATE(YEAR(Setup!$B$5),MONTH(Setup!$B$5)+ROW()-24,1),"mmm yyyy")</f>
        <v>Jul 2026</v>
      </c>
      <c r="B30" s="37">
        <f>SUMIFS('Data Entry'!$E$8:$E$127,'Data Entry'!$A$8:$A$127,DATE(YEAR(Setup!$B$5),MONTH(Setup!$B$5)+ROW()-24,1))</f>
        <v>467160</v>
      </c>
      <c r="C30" s="37">
        <f>IF(DATE(YEAR(Setup!$B$5),MONTH(Setup!$B$5)+ROW()-24,1)&lt;=Setup!$B$6,SUMIFS('Data Entry'!$F$8:$F$127,'Data Entry'!$A$8:$A$127,DATE(YEAR(Setup!$B$5),MONTH(Setup!$B$5)+ROW()-24,1)),"")</f>
        <v>463146</v>
      </c>
      <c r="D30" s="38">
        <f t="shared" si="2"/>
        <v>4014</v>
      </c>
      <c r="E30" s="39">
        <f t="shared" si="3"/>
        <v>8.5923452350372461E-3</v>
      </c>
    </row>
    <row r="31" spans="1:5">
      <c r="A31" s="36" t="str">
        <f>TEXT(DATE(YEAR(Setup!$B$5),MONTH(Setup!$B$5)+ROW()-24,1),"mmm yyyy")</f>
        <v>Aug 2026</v>
      </c>
      <c r="B31" s="37">
        <f>SUMIFS('Data Entry'!$E$8:$E$127,'Data Entry'!$A$8:$A$127,DATE(YEAR(Setup!$B$5),MONTH(Setup!$B$5)+ROW()-24,1))</f>
        <v>458000</v>
      </c>
      <c r="C31" s="37" t="str">
        <f>IF(DATE(YEAR(Setup!$B$5),MONTH(Setup!$B$5)+ROW()-24,1)&lt;=Setup!$B$6,SUMIFS('Data Entry'!$F$8:$F$127,'Data Entry'!$A$8:$A$127,DATE(YEAR(Setup!$B$5),MONTH(Setup!$B$5)+ROW()-24,1)),"")</f>
        <v/>
      </c>
      <c r="D31" s="38" t="str">
        <f t="shared" si="2"/>
        <v/>
      </c>
      <c r="E31" s="39" t="str">
        <f t="shared" si="3"/>
        <v/>
      </c>
    </row>
    <row r="32" spans="1:5">
      <c r="A32" s="36" t="str">
        <f>TEXT(DATE(YEAR(Setup!$B$5),MONTH(Setup!$B$5)+ROW()-24,1),"mmm yyyy")</f>
        <v>Sep 2026</v>
      </c>
      <c r="B32" s="37">
        <f>SUMIFS('Data Entry'!$E$8:$E$127,'Data Entry'!$A$8:$A$127,DATE(YEAR(Setup!$B$5),MONTH(Setup!$B$5)+ROW()-24,1))</f>
        <v>471740</v>
      </c>
      <c r="C32" s="37" t="str">
        <f>IF(DATE(YEAR(Setup!$B$5),MONTH(Setup!$B$5)+ROW()-24,1)&lt;=Setup!$B$6,SUMIFS('Data Entry'!$F$8:$F$127,'Data Entry'!$A$8:$A$127,DATE(YEAR(Setup!$B$5),MONTH(Setup!$B$5)+ROW()-24,1)),"")</f>
        <v/>
      </c>
      <c r="D32" s="38" t="str">
        <f t="shared" si="2"/>
        <v/>
      </c>
      <c r="E32" s="39" t="str">
        <f t="shared" si="3"/>
        <v/>
      </c>
    </row>
    <row r="33" spans="1:12">
      <c r="A33" s="36" t="str">
        <f>TEXT(DATE(YEAR(Setup!$B$5),MONTH(Setup!$B$5)+ROW()-24,1),"mmm yyyy")</f>
        <v>Oct 2026</v>
      </c>
      <c r="B33" s="37">
        <f>SUMIFS('Data Entry'!$E$8:$E$127,'Data Entry'!$A$8:$A$127,DATE(YEAR(Setup!$B$5),MONTH(Setup!$B$5)+ROW()-24,1))</f>
        <v>462580</v>
      </c>
      <c r="C33" s="37" t="str">
        <f>IF(DATE(YEAR(Setup!$B$5),MONTH(Setup!$B$5)+ROW()-24,1)&lt;=Setup!$B$6,SUMIFS('Data Entry'!$F$8:$F$127,'Data Entry'!$A$8:$A$127,DATE(YEAR(Setup!$B$5),MONTH(Setup!$B$5)+ROW()-24,1)),"")</f>
        <v/>
      </c>
      <c r="D33" s="38" t="str">
        <f t="shared" si="2"/>
        <v/>
      </c>
      <c r="E33" s="39" t="str">
        <f t="shared" si="3"/>
        <v/>
      </c>
    </row>
    <row r="34" spans="1:12">
      <c r="A34" s="36" t="str">
        <f>TEXT(DATE(YEAR(Setup!$B$5),MONTH(Setup!$B$5)+ROW()-24,1),"mmm yyyy")</f>
        <v>Nov 2026</v>
      </c>
      <c r="B34" s="37">
        <f>SUMIFS('Data Entry'!$E$8:$E$127,'Data Entry'!$A$8:$A$127,DATE(YEAR(Setup!$B$5),MONTH(Setup!$B$5)+ROW()-24,1))</f>
        <v>485480</v>
      </c>
      <c r="C34" s="37" t="str">
        <f>IF(DATE(YEAR(Setup!$B$5),MONTH(Setup!$B$5)+ROW()-24,1)&lt;=Setup!$B$6,SUMIFS('Data Entry'!$F$8:$F$127,'Data Entry'!$A$8:$A$127,DATE(YEAR(Setup!$B$5),MONTH(Setup!$B$5)+ROW()-24,1)),"")</f>
        <v/>
      </c>
      <c r="D34" s="38" t="str">
        <f t="shared" si="2"/>
        <v/>
      </c>
      <c r="E34" s="39" t="str">
        <f t="shared" si="3"/>
        <v/>
      </c>
    </row>
    <row r="35" spans="1:12">
      <c r="A35" s="40" t="str">
        <f>TEXT(DATE(YEAR(Setup!$B$5),MONTH(Setup!$B$5)+ROW()-24,1),"mmm yyyy")</f>
        <v>Dec 2026</v>
      </c>
      <c r="B35" s="41">
        <f>SUMIFS('Data Entry'!$E$8:$E$127,'Data Entry'!$A$8:$A$127,DATE(YEAR(Setup!$B$5),MONTH(Setup!$B$5)+ROW()-24,1))</f>
        <v>512960</v>
      </c>
      <c r="C35" s="41" t="str">
        <f>IF(DATE(YEAR(Setup!$B$5),MONTH(Setup!$B$5)+ROW()-24,1)&lt;=Setup!$B$6,SUMIFS('Data Entry'!$F$8:$F$127,'Data Entry'!$A$8:$A$127,DATE(YEAR(Setup!$B$5),MONTH(Setup!$B$5)+ROW()-24,1)),"")</f>
        <v/>
      </c>
      <c r="D35" s="42" t="str">
        <f t="shared" si="2"/>
        <v/>
      </c>
      <c r="E35" s="43" t="str">
        <f t="shared" si="3"/>
        <v/>
      </c>
    </row>
    <row r="36" spans="1:12">
      <c r="A36" s="107" t="s">
        <v>26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</row>
  </sheetData>
  <mergeCells count="26">
    <mergeCell ref="A22:E22"/>
    <mergeCell ref="A36:L36"/>
    <mergeCell ref="G12:J12"/>
    <mergeCell ref="G13:J13"/>
    <mergeCell ref="G14:J14"/>
    <mergeCell ref="G15:J15"/>
    <mergeCell ref="K12:L12"/>
    <mergeCell ref="K13:L13"/>
    <mergeCell ref="K14:L14"/>
    <mergeCell ref="K15:L15"/>
    <mergeCell ref="J6:L8"/>
    <mergeCell ref="A10:E10"/>
    <mergeCell ref="G10:L10"/>
    <mergeCell ref="G11:J11"/>
    <mergeCell ref="K11:L11"/>
    <mergeCell ref="A6:C8"/>
    <mergeCell ref="D5:F5"/>
    <mergeCell ref="D6:F8"/>
    <mergeCell ref="G5:I5"/>
    <mergeCell ref="G6:I8"/>
    <mergeCell ref="A1:L2"/>
    <mergeCell ref="A3:E3"/>
    <mergeCell ref="F3:H3"/>
    <mergeCell ref="I3:L3"/>
    <mergeCell ref="A5:C5"/>
    <mergeCell ref="J5:L5"/>
  </mergeCells>
  <conditionalFormatting sqref="D12:D19">
    <cfRule type="cellIs" dxfId="15" priority="3" operator="lessThan">
      <formula>0</formula>
    </cfRule>
    <cfRule type="cellIs" dxfId="14" priority="4" operator="greaterThanOrEqual">
      <formula>0</formula>
    </cfRule>
  </conditionalFormatting>
  <conditionalFormatting sqref="G6:L8">
    <cfRule type="cellIs" dxfId="13" priority="1" operator="lessThan">
      <formula>0</formula>
    </cfRule>
  </conditionalFormatting>
  <conditionalFormatting sqref="K15:L15">
    <cfRule type="containsText" dxfId="12" priority="5" operator="containsText" text="PASS"/>
    <cfRule type="containsText" dxfId="11" priority="6" operator="containsText" text="FAIL"/>
    <cfRule type="containsText" dxfId="10" priority="7" operator="containsText" text="CHECK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7"/>
  <sheetViews>
    <sheetView showGridLines="0" tabSelected="1" zoomScale="85" workbookViewId="0">
      <selection activeCell="E9" sqref="E9"/>
    </sheetView>
  </sheetViews>
  <sheetFormatPr defaultRowHeight="14.25"/>
  <cols>
    <col min="1" max="1" width="13" customWidth="1"/>
    <col min="2" max="2" width="16" customWidth="1"/>
    <col min="3" max="3" width="20" customWidth="1"/>
    <col min="4" max="8" width="14" customWidth="1"/>
    <col min="9" max="9" width="20" customWidth="1"/>
    <col min="10" max="10" width="30" customWidth="1"/>
  </cols>
  <sheetData>
    <row r="1" spans="1:10" ht="24.95" customHeight="1">
      <c r="A1" s="108" t="s">
        <v>27</v>
      </c>
      <c r="B1" s="108" t="s">
        <v>27</v>
      </c>
      <c r="C1" s="108" t="s">
        <v>27</v>
      </c>
      <c r="D1" s="108" t="s">
        <v>27</v>
      </c>
      <c r="E1" s="108" t="s">
        <v>27</v>
      </c>
      <c r="F1" s="108" t="s">
        <v>27</v>
      </c>
      <c r="G1" s="108" t="s">
        <v>27</v>
      </c>
      <c r="H1" s="108" t="s">
        <v>27</v>
      </c>
      <c r="I1" s="108" t="s">
        <v>27</v>
      </c>
      <c r="J1" s="108" t="s">
        <v>27</v>
      </c>
    </row>
    <row r="2" spans="1:10" ht="24.95" customHeight="1">
      <c r="A2" s="108" t="s">
        <v>27</v>
      </c>
      <c r="B2" s="108" t="s">
        <v>27</v>
      </c>
      <c r="C2" s="108" t="s">
        <v>27</v>
      </c>
      <c r="D2" s="108" t="s">
        <v>27</v>
      </c>
      <c r="E2" s="108" t="s">
        <v>27</v>
      </c>
      <c r="F2" s="108" t="s">
        <v>27</v>
      </c>
      <c r="G2" s="108" t="s">
        <v>27</v>
      </c>
      <c r="H2" s="108" t="s">
        <v>27</v>
      </c>
      <c r="I2" s="108" t="s">
        <v>27</v>
      </c>
      <c r="J2" s="108" t="s">
        <v>27</v>
      </c>
    </row>
    <row r="3" spans="1:10" ht="23.1" customHeight="1">
      <c r="A3" s="109" t="s">
        <v>28</v>
      </c>
      <c r="B3" s="63"/>
      <c r="C3" s="63"/>
      <c r="D3" s="63"/>
      <c r="E3" s="63"/>
      <c r="F3" s="63"/>
      <c r="G3" s="63"/>
      <c r="H3" s="63"/>
      <c r="I3" s="63"/>
      <c r="J3" s="63"/>
    </row>
    <row r="4" spans="1:10" ht="23.1" customHeight="1"/>
    <row r="5" spans="1:10" ht="23.1" customHeight="1">
      <c r="A5" s="110" t="s">
        <v>29</v>
      </c>
      <c r="B5" s="63"/>
      <c r="C5" s="63"/>
      <c r="D5" s="63"/>
      <c r="E5" s="63"/>
      <c r="F5" s="63"/>
      <c r="G5" s="63"/>
      <c r="H5" s="63"/>
      <c r="I5" s="63"/>
      <c r="J5" s="63"/>
    </row>
    <row r="7" spans="1:10" ht="30" customHeight="1">
      <c r="A7" s="16" t="s">
        <v>25</v>
      </c>
      <c r="B7" s="16" t="s">
        <v>30</v>
      </c>
      <c r="C7" s="16" t="s">
        <v>6</v>
      </c>
      <c r="D7" s="16" t="s">
        <v>31</v>
      </c>
      <c r="E7" s="16" t="s">
        <v>7</v>
      </c>
      <c r="F7" s="16" t="s">
        <v>8</v>
      </c>
      <c r="G7" s="16" t="s">
        <v>9</v>
      </c>
      <c r="H7" s="16" t="s">
        <v>3</v>
      </c>
      <c r="I7" s="16" t="s">
        <v>32</v>
      </c>
      <c r="J7" s="16" t="s">
        <v>33</v>
      </c>
    </row>
    <row r="8" spans="1:10">
      <c r="A8" s="21">
        <v>46023</v>
      </c>
      <c r="B8" s="17" t="s">
        <v>34</v>
      </c>
      <c r="C8" s="17" t="s">
        <v>12</v>
      </c>
      <c r="D8" s="17" t="s">
        <v>35</v>
      </c>
      <c r="E8" s="23">
        <v>200000</v>
      </c>
      <c r="F8" s="23">
        <v>188000</v>
      </c>
      <c r="G8" s="24">
        <f t="shared" ref="G8:G39" si="0">IF(OR(E8="",F8=""),"",E8-F8)</f>
        <v>12000</v>
      </c>
      <c r="H8" s="27">
        <f t="shared" ref="H8:H39" si="1">IFERROR(G8/E8,"")</f>
        <v>0.06</v>
      </c>
      <c r="I8" s="18" t="str">
        <f t="shared" ref="I8:I39" si="2">IF(A8="","",IF(F8="","Pending",IF(G8&lt;0,"Over Budget","On / Under Budget")))</f>
        <v>On / Under Budget</v>
      </c>
      <c r="J8" s="17" t="s">
        <v>36</v>
      </c>
    </row>
    <row r="9" spans="1:10">
      <c r="A9" s="22">
        <v>46023</v>
      </c>
      <c r="B9" s="19" t="s">
        <v>37</v>
      </c>
      <c r="C9" s="19" t="s">
        <v>14</v>
      </c>
      <c r="D9" s="19" t="s">
        <v>38</v>
      </c>
      <c r="E9" s="25">
        <v>60000</v>
      </c>
      <c r="F9" s="25">
        <v>59640</v>
      </c>
      <c r="G9" s="26">
        <f t="shared" si="0"/>
        <v>360</v>
      </c>
      <c r="H9" s="28">
        <f t="shared" si="1"/>
        <v>6.0000000000000001E-3</v>
      </c>
      <c r="I9" s="20" t="str">
        <f t="shared" si="2"/>
        <v>On / Under Budget</v>
      </c>
      <c r="J9" s="19" t="s">
        <v>36</v>
      </c>
    </row>
    <row r="10" spans="1:10">
      <c r="A10" s="22">
        <v>46023</v>
      </c>
      <c r="B10" s="19" t="s">
        <v>16</v>
      </c>
      <c r="C10" s="19" t="s">
        <v>16</v>
      </c>
      <c r="D10" s="19" t="s">
        <v>39</v>
      </c>
      <c r="E10" s="25">
        <v>75000</v>
      </c>
      <c r="F10" s="25">
        <v>78600</v>
      </c>
      <c r="G10" s="26">
        <f t="shared" si="0"/>
        <v>-3600</v>
      </c>
      <c r="H10" s="28">
        <f t="shared" si="1"/>
        <v>-4.8000000000000001E-2</v>
      </c>
      <c r="I10" s="20" t="str">
        <f t="shared" si="2"/>
        <v>Over Budget</v>
      </c>
      <c r="J10" s="19" t="s">
        <v>40</v>
      </c>
    </row>
    <row r="11" spans="1:10">
      <c r="A11" s="22">
        <v>46023</v>
      </c>
      <c r="B11" s="19" t="s">
        <v>18</v>
      </c>
      <c r="C11" s="19" t="s">
        <v>18</v>
      </c>
      <c r="D11" s="19" t="s">
        <v>41</v>
      </c>
      <c r="E11" s="25">
        <v>45000</v>
      </c>
      <c r="F11" s="25">
        <v>42300</v>
      </c>
      <c r="G11" s="26">
        <f t="shared" si="0"/>
        <v>2700</v>
      </c>
      <c r="H11" s="28">
        <f t="shared" si="1"/>
        <v>0.06</v>
      </c>
      <c r="I11" s="20" t="str">
        <f t="shared" si="2"/>
        <v>On / Under Budget</v>
      </c>
      <c r="J11" s="19" t="s">
        <v>36</v>
      </c>
    </row>
    <row r="12" spans="1:10">
      <c r="A12" s="22">
        <v>46023</v>
      </c>
      <c r="B12" s="19" t="s">
        <v>42</v>
      </c>
      <c r="C12" s="19" t="s">
        <v>20</v>
      </c>
      <c r="D12" s="19" t="s">
        <v>43</v>
      </c>
      <c r="E12" s="25">
        <v>18000</v>
      </c>
      <c r="F12" s="25">
        <v>17892</v>
      </c>
      <c r="G12" s="26">
        <f t="shared" si="0"/>
        <v>108</v>
      </c>
      <c r="H12" s="28">
        <f t="shared" si="1"/>
        <v>6.0000000000000001E-3</v>
      </c>
      <c r="I12" s="20" t="str">
        <f t="shared" si="2"/>
        <v>On / Under Budget</v>
      </c>
      <c r="J12" s="19" t="s">
        <v>36</v>
      </c>
    </row>
    <row r="13" spans="1:10">
      <c r="A13" s="22">
        <v>46023</v>
      </c>
      <c r="B13" s="19" t="s">
        <v>44</v>
      </c>
      <c r="C13" s="19" t="s">
        <v>21</v>
      </c>
      <c r="D13" s="19" t="s">
        <v>45</v>
      </c>
      <c r="E13" s="25">
        <v>35000</v>
      </c>
      <c r="F13" s="25">
        <v>36680</v>
      </c>
      <c r="G13" s="26">
        <f t="shared" si="0"/>
        <v>-1680</v>
      </c>
      <c r="H13" s="28">
        <f t="shared" si="1"/>
        <v>-4.8000000000000001E-2</v>
      </c>
      <c r="I13" s="20" t="str">
        <f t="shared" si="2"/>
        <v>Over Budget</v>
      </c>
      <c r="J13" s="19" t="s">
        <v>40</v>
      </c>
    </row>
    <row r="14" spans="1:10">
      <c r="A14" s="22">
        <v>46023</v>
      </c>
      <c r="B14" s="19" t="s">
        <v>37</v>
      </c>
      <c r="C14" s="19" t="s">
        <v>22</v>
      </c>
      <c r="D14" s="19" t="s">
        <v>38</v>
      </c>
      <c r="E14" s="25">
        <v>15000</v>
      </c>
      <c r="F14" s="25">
        <v>14100</v>
      </c>
      <c r="G14" s="26">
        <f t="shared" si="0"/>
        <v>900</v>
      </c>
      <c r="H14" s="28">
        <f t="shared" si="1"/>
        <v>0.06</v>
      </c>
      <c r="I14" s="20" t="str">
        <f t="shared" si="2"/>
        <v>On / Under Budget</v>
      </c>
      <c r="J14" s="19" t="s">
        <v>36</v>
      </c>
    </row>
    <row r="15" spans="1:10">
      <c r="A15" s="22">
        <v>46023</v>
      </c>
      <c r="B15" s="19" t="s">
        <v>44</v>
      </c>
      <c r="C15" s="19" t="s">
        <v>23</v>
      </c>
      <c r="D15" s="19" t="s">
        <v>45</v>
      </c>
      <c r="E15" s="25">
        <v>10000</v>
      </c>
      <c r="F15" s="25">
        <v>9940</v>
      </c>
      <c r="G15" s="26">
        <f t="shared" si="0"/>
        <v>60</v>
      </c>
      <c r="H15" s="28">
        <f t="shared" si="1"/>
        <v>6.0000000000000001E-3</v>
      </c>
      <c r="I15" s="20" t="str">
        <f t="shared" si="2"/>
        <v>On / Under Budget</v>
      </c>
      <c r="J15" s="19" t="s">
        <v>36</v>
      </c>
    </row>
    <row r="16" spans="1:10">
      <c r="A16" s="22">
        <v>46054</v>
      </c>
      <c r="B16" s="19" t="s">
        <v>34</v>
      </c>
      <c r="C16" s="19" t="s">
        <v>12</v>
      </c>
      <c r="D16" s="19" t="s">
        <v>35</v>
      </c>
      <c r="E16" s="25">
        <v>196000</v>
      </c>
      <c r="F16" s="25">
        <v>201880</v>
      </c>
      <c r="G16" s="26">
        <f t="shared" si="0"/>
        <v>-5880</v>
      </c>
      <c r="H16" s="28">
        <f t="shared" si="1"/>
        <v>-0.03</v>
      </c>
      <c r="I16" s="20" t="str">
        <f t="shared" si="2"/>
        <v>Over Budget</v>
      </c>
      <c r="J16" s="19" t="s">
        <v>40</v>
      </c>
    </row>
    <row r="17" spans="1:10">
      <c r="A17" s="22">
        <v>46054</v>
      </c>
      <c r="B17" s="19" t="s">
        <v>37</v>
      </c>
      <c r="C17" s="19" t="s">
        <v>14</v>
      </c>
      <c r="D17" s="19" t="s">
        <v>38</v>
      </c>
      <c r="E17" s="25">
        <v>58800</v>
      </c>
      <c r="F17" s="25">
        <v>63739</v>
      </c>
      <c r="G17" s="26">
        <f t="shared" si="0"/>
        <v>-4939</v>
      </c>
      <c r="H17" s="28">
        <f t="shared" si="1"/>
        <v>-8.3996598639455786E-2</v>
      </c>
      <c r="I17" s="20" t="str">
        <f t="shared" si="2"/>
        <v>Over Budget</v>
      </c>
      <c r="J17" s="19" t="s">
        <v>40</v>
      </c>
    </row>
    <row r="18" spans="1:10">
      <c r="A18" s="22">
        <v>46054</v>
      </c>
      <c r="B18" s="19" t="s">
        <v>16</v>
      </c>
      <c r="C18" s="19" t="s">
        <v>16</v>
      </c>
      <c r="D18" s="19" t="s">
        <v>39</v>
      </c>
      <c r="E18" s="25">
        <v>73500</v>
      </c>
      <c r="F18" s="25">
        <v>71736</v>
      </c>
      <c r="G18" s="26">
        <f t="shared" si="0"/>
        <v>1764</v>
      </c>
      <c r="H18" s="28">
        <f t="shared" si="1"/>
        <v>2.4E-2</v>
      </c>
      <c r="I18" s="20" t="str">
        <f t="shared" si="2"/>
        <v>On / Under Budget</v>
      </c>
      <c r="J18" s="19" t="s">
        <v>36</v>
      </c>
    </row>
    <row r="19" spans="1:10">
      <c r="A19" s="22">
        <v>46054</v>
      </c>
      <c r="B19" s="19" t="s">
        <v>18</v>
      </c>
      <c r="C19" s="19" t="s">
        <v>18</v>
      </c>
      <c r="D19" s="19" t="s">
        <v>41</v>
      </c>
      <c r="E19" s="25">
        <v>44100</v>
      </c>
      <c r="F19" s="25">
        <v>45423</v>
      </c>
      <c r="G19" s="26">
        <f t="shared" si="0"/>
        <v>-1323</v>
      </c>
      <c r="H19" s="28">
        <f t="shared" si="1"/>
        <v>-0.03</v>
      </c>
      <c r="I19" s="20" t="str">
        <f t="shared" si="2"/>
        <v>Over Budget</v>
      </c>
      <c r="J19" s="19" t="s">
        <v>40</v>
      </c>
    </row>
    <row r="20" spans="1:10">
      <c r="A20" s="22">
        <v>46054</v>
      </c>
      <c r="B20" s="19" t="s">
        <v>42</v>
      </c>
      <c r="C20" s="19" t="s">
        <v>20</v>
      </c>
      <c r="D20" s="19" t="s">
        <v>43</v>
      </c>
      <c r="E20" s="25">
        <v>17640</v>
      </c>
      <c r="F20" s="25">
        <v>19122</v>
      </c>
      <c r="G20" s="26">
        <f t="shared" si="0"/>
        <v>-1482</v>
      </c>
      <c r="H20" s="28">
        <f t="shared" si="1"/>
        <v>-8.401360544217687E-2</v>
      </c>
      <c r="I20" s="20" t="str">
        <f t="shared" si="2"/>
        <v>Over Budget</v>
      </c>
      <c r="J20" s="19" t="s">
        <v>40</v>
      </c>
    </row>
    <row r="21" spans="1:10">
      <c r="A21" s="22">
        <v>46054</v>
      </c>
      <c r="B21" s="19" t="s">
        <v>44</v>
      </c>
      <c r="C21" s="19" t="s">
        <v>21</v>
      </c>
      <c r="D21" s="19" t="s">
        <v>45</v>
      </c>
      <c r="E21" s="25">
        <v>34300</v>
      </c>
      <c r="F21" s="25">
        <v>33477</v>
      </c>
      <c r="G21" s="26">
        <f t="shared" si="0"/>
        <v>823</v>
      </c>
      <c r="H21" s="28">
        <f t="shared" si="1"/>
        <v>2.3994169096209914E-2</v>
      </c>
      <c r="I21" s="20" t="str">
        <f t="shared" si="2"/>
        <v>On / Under Budget</v>
      </c>
      <c r="J21" s="19" t="s">
        <v>36</v>
      </c>
    </row>
    <row r="22" spans="1:10">
      <c r="A22" s="22">
        <v>46054</v>
      </c>
      <c r="B22" s="19" t="s">
        <v>37</v>
      </c>
      <c r="C22" s="19" t="s">
        <v>22</v>
      </c>
      <c r="D22" s="19" t="s">
        <v>38</v>
      </c>
      <c r="E22" s="25">
        <v>14700</v>
      </c>
      <c r="F22" s="25">
        <v>15141</v>
      </c>
      <c r="G22" s="26">
        <f t="shared" si="0"/>
        <v>-441</v>
      </c>
      <c r="H22" s="28">
        <f t="shared" si="1"/>
        <v>-0.03</v>
      </c>
      <c r="I22" s="20" t="str">
        <f t="shared" si="2"/>
        <v>Over Budget</v>
      </c>
      <c r="J22" s="19" t="s">
        <v>40</v>
      </c>
    </row>
    <row r="23" spans="1:10">
      <c r="A23" s="22">
        <v>46054</v>
      </c>
      <c r="B23" s="19" t="s">
        <v>44</v>
      </c>
      <c r="C23" s="19" t="s">
        <v>23</v>
      </c>
      <c r="D23" s="19" t="s">
        <v>45</v>
      </c>
      <c r="E23" s="25">
        <v>9800</v>
      </c>
      <c r="F23" s="25">
        <v>10623</v>
      </c>
      <c r="G23" s="26">
        <f t="shared" si="0"/>
        <v>-823</v>
      </c>
      <c r="H23" s="28">
        <f t="shared" si="1"/>
        <v>-8.3979591836734688E-2</v>
      </c>
      <c r="I23" s="20" t="str">
        <f t="shared" si="2"/>
        <v>Over Budget</v>
      </c>
      <c r="J23" s="19" t="s">
        <v>40</v>
      </c>
    </row>
    <row r="24" spans="1:10">
      <c r="A24" s="22">
        <v>46082</v>
      </c>
      <c r="B24" s="19" t="s">
        <v>34</v>
      </c>
      <c r="C24" s="19" t="s">
        <v>12</v>
      </c>
      <c r="D24" s="19" t="s">
        <v>35</v>
      </c>
      <c r="E24" s="25">
        <v>206000</v>
      </c>
      <c r="F24" s="25">
        <v>197348</v>
      </c>
      <c r="G24" s="26">
        <f t="shared" si="0"/>
        <v>8652</v>
      </c>
      <c r="H24" s="28">
        <f t="shared" si="1"/>
        <v>4.2000000000000003E-2</v>
      </c>
      <c r="I24" s="20" t="str">
        <f t="shared" si="2"/>
        <v>On / Under Budget</v>
      </c>
      <c r="J24" s="19" t="s">
        <v>36</v>
      </c>
    </row>
    <row r="25" spans="1:10">
      <c r="A25" s="22">
        <v>46082</v>
      </c>
      <c r="B25" s="19" t="s">
        <v>37</v>
      </c>
      <c r="C25" s="19" t="s">
        <v>14</v>
      </c>
      <c r="D25" s="19" t="s">
        <v>38</v>
      </c>
      <c r="E25" s="25">
        <v>61800</v>
      </c>
      <c r="F25" s="25">
        <v>62542</v>
      </c>
      <c r="G25" s="26">
        <f t="shared" si="0"/>
        <v>-742</v>
      </c>
      <c r="H25" s="28">
        <f t="shared" si="1"/>
        <v>-1.2006472491909385E-2</v>
      </c>
      <c r="I25" s="20" t="str">
        <f t="shared" si="2"/>
        <v>Over Budget</v>
      </c>
      <c r="J25" s="19" t="s">
        <v>40</v>
      </c>
    </row>
    <row r="26" spans="1:10">
      <c r="A26" s="22">
        <v>46082</v>
      </c>
      <c r="B26" s="19" t="s">
        <v>16</v>
      </c>
      <c r="C26" s="19" t="s">
        <v>16</v>
      </c>
      <c r="D26" s="19" t="s">
        <v>39</v>
      </c>
      <c r="E26" s="25">
        <v>77250</v>
      </c>
      <c r="F26" s="25">
        <v>82348</v>
      </c>
      <c r="G26" s="26">
        <f t="shared" si="0"/>
        <v>-5098</v>
      </c>
      <c r="H26" s="28">
        <f t="shared" si="1"/>
        <v>-6.5993527508090621E-2</v>
      </c>
      <c r="I26" s="20" t="str">
        <f t="shared" si="2"/>
        <v>Over Budget</v>
      </c>
      <c r="J26" s="19" t="s">
        <v>40</v>
      </c>
    </row>
    <row r="27" spans="1:10">
      <c r="A27" s="22">
        <v>46082</v>
      </c>
      <c r="B27" s="19" t="s">
        <v>18</v>
      </c>
      <c r="C27" s="19" t="s">
        <v>18</v>
      </c>
      <c r="D27" s="19" t="s">
        <v>41</v>
      </c>
      <c r="E27" s="25">
        <v>46350</v>
      </c>
      <c r="F27" s="25">
        <v>44403</v>
      </c>
      <c r="G27" s="26">
        <f t="shared" si="0"/>
        <v>1947</v>
      </c>
      <c r="H27" s="28">
        <f t="shared" si="1"/>
        <v>4.2006472491909384E-2</v>
      </c>
      <c r="I27" s="20" t="str">
        <f t="shared" si="2"/>
        <v>On / Under Budget</v>
      </c>
      <c r="J27" s="19" t="s">
        <v>36</v>
      </c>
    </row>
    <row r="28" spans="1:10">
      <c r="A28" s="22">
        <v>46082</v>
      </c>
      <c r="B28" s="19" t="s">
        <v>42</v>
      </c>
      <c r="C28" s="19" t="s">
        <v>20</v>
      </c>
      <c r="D28" s="19" t="s">
        <v>43</v>
      </c>
      <c r="E28" s="25">
        <v>18540</v>
      </c>
      <c r="F28" s="25">
        <v>18762</v>
      </c>
      <c r="G28" s="26">
        <f t="shared" si="0"/>
        <v>-222</v>
      </c>
      <c r="H28" s="28">
        <f t="shared" si="1"/>
        <v>-1.197411003236246E-2</v>
      </c>
      <c r="I28" s="20" t="str">
        <f t="shared" si="2"/>
        <v>Over Budget</v>
      </c>
      <c r="J28" s="19" t="s">
        <v>40</v>
      </c>
    </row>
    <row r="29" spans="1:10">
      <c r="A29" s="22">
        <v>46082</v>
      </c>
      <c r="B29" s="19" t="s">
        <v>44</v>
      </c>
      <c r="C29" s="19" t="s">
        <v>21</v>
      </c>
      <c r="D29" s="19" t="s">
        <v>45</v>
      </c>
      <c r="E29" s="25">
        <v>36050</v>
      </c>
      <c r="F29" s="25">
        <v>38429</v>
      </c>
      <c r="G29" s="26">
        <f t="shared" si="0"/>
        <v>-2379</v>
      </c>
      <c r="H29" s="28">
        <f t="shared" si="1"/>
        <v>-6.5991678224687933E-2</v>
      </c>
      <c r="I29" s="20" t="str">
        <f t="shared" si="2"/>
        <v>Over Budget</v>
      </c>
      <c r="J29" s="19" t="s">
        <v>40</v>
      </c>
    </row>
    <row r="30" spans="1:10">
      <c r="A30" s="22">
        <v>46082</v>
      </c>
      <c r="B30" s="19" t="s">
        <v>37</v>
      </c>
      <c r="C30" s="19" t="s">
        <v>22</v>
      </c>
      <c r="D30" s="19" t="s">
        <v>38</v>
      </c>
      <c r="E30" s="25">
        <v>15450</v>
      </c>
      <c r="F30" s="25">
        <v>14801</v>
      </c>
      <c r="G30" s="26">
        <f t="shared" si="0"/>
        <v>649</v>
      </c>
      <c r="H30" s="28">
        <f t="shared" si="1"/>
        <v>4.2006472491909384E-2</v>
      </c>
      <c r="I30" s="20" t="str">
        <f t="shared" si="2"/>
        <v>On / Under Budget</v>
      </c>
      <c r="J30" s="19" t="s">
        <v>36</v>
      </c>
    </row>
    <row r="31" spans="1:10">
      <c r="A31" s="22">
        <v>46082</v>
      </c>
      <c r="B31" s="19" t="s">
        <v>44</v>
      </c>
      <c r="C31" s="19" t="s">
        <v>23</v>
      </c>
      <c r="D31" s="19" t="s">
        <v>45</v>
      </c>
      <c r="E31" s="25">
        <v>10300</v>
      </c>
      <c r="F31" s="25">
        <v>10424</v>
      </c>
      <c r="G31" s="26">
        <f t="shared" si="0"/>
        <v>-124</v>
      </c>
      <c r="H31" s="28">
        <f t="shared" si="1"/>
        <v>-1.2038834951456311E-2</v>
      </c>
      <c r="I31" s="20" t="str">
        <f t="shared" si="2"/>
        <v>Over Budget</v>
      </c>
      <c r="J31" s="19" t="s">
        <v>40</v>
      </c>
    </row>
    <row r="32" spans="1:10">
      <c r="A32" s="22">
        <v>46113</v>
      </c>
      <c r="B32" s="19" t="s">
        <v>34</v>
      </c>
      <c r="C32" s="19" t="s">
        <v>12</v>
      </c>
      <c r="D32" s="19" t="s">
        <v>35</v>
      </c>
      <c r="E32" s="25">
        <v>202000</v>
      </c>
      <c r="F32" s="25">
        <v>211696</v>
      </c>
      <c r="G32" s="26">
        <f t="shared" si="0"/>
        <v>-9696</v>
      </c>
      <c r="H32" s="28">
        <f t="shared" si="1"/>
        <v>-4.8000000000000001E-2</v>
      </c>
      <c r="I32" s="20" t="str">
        <f t="shared" si="2"/>
        <v>Over Budget</v>
      </c>
      <c r="J32" s="19" t="s">
        <v>40</v>
      </c>
    </row>
    <row r="33" spans="1:10">
      <c r="A33" s="22">
        <v>46113</v>
      </c>
      <c r="B33" s="19" t="s">
        <v>37</v>
      </c>
      <c r="C33" s="19" t="s">
        <v>14</v>
      </c>
      <c r="D33" s="19" t="s">
        <v>38</v>
      </c>
      <c r="E33" s="25">
        <v>60600</v>
      </c>
      <c r="F33" s="25">
        <v>56964</v>
      </c>
      <c r="G33" s="26">
        <f t="shared" si="0"/>
        <v>3636</v>
      </c>
      <c r="H33" s="28">
        <f t="shared" si="1"/>
        <v>0.06</v>
      </c>
      <c r="I33" s="20" t="str">
        <f t="shared" si="2"/>
        <v>On / Under Budget</v>
      </c>
      <c r="J33" s="19" t="s">
        <v>36</v>
      </c>
    </row>
    <row r="34" spans="1:10">
      <c r="A34" s="22">
        <v>46113</v>
      </c>
      <c r="B34" s="19" t="s">
        <v>16</v>
      </c>
      <c r="C34" s="19" t="s">
        <v>16</v>
      </c>
      <c r="D34" s="19" t="s">
        <v>39</v>
      </c>
      <c r="E34" s="25">
        <v>75750</v>
      </c>
      <c r="F34" s="25">
        <v>75296</v>
      </c>
      <c r="G34" s="26">
        <f t="shared" si="0"/>
        <v>454</v>
      </c>
      <c r="H34" s="28">
        <f t="shared" si="1"/>
        <v>5.9933993399339932E-3</v>
      </c>
      <c r="I34" s="20" t="str">
        <f t="shared" si="2"/>
        <v>On / Under Budget</v>
      </c>
      <c r="J34" s="19" t="s">
        <v>36</v>
      </c>
    </row>
    <row r="35" spans="1:10">
      <c r="A35" s="22">
        <v>46113</v>
      </c>
      <c r="B35" s="19" t="s">
        <v>18</v>
      </c>
      <c r="C35" s="19" t="s">
        <v>18</v>
      </c>
      <c r="D35" s="19" t="s">
        <v>41</v>
      </c>
      <c r="E35" s="25">
        <v>45450</v>
      </c>
      <c r="F35" s="25">
        <v>47632</v>
      </c>
      <c r="G35" s="26">
        <f t="shared" si="0"/>
        <v>-2182</v>
      </c>
      <c r="H35" s="28">
        <f t="shared" si="1"/>
        <v>-4.8008800880088007E-2</v>
      </c>
      <c r="I35" s="20" t="str">
        <f t="shared" si="2"/>
        <v>Over Budget</v>
      </c>
      <c r="J35" s="19" t="s">
        <v>40</v>
      </c>
    </row>
    <row r="36" spans="1:10">
      <c r="A36" s="22">
        <v>46113</v>
      </c>
      <c r="B36" s="19" t="s">
        <v>42</v>
      </c>
      <c r="C36" s="19" t="s">
        <v>20</v>
      </c>
      <c r="D36" s="19" t="s">
        <v>43</v>
      </c>
      <c r="E36" s="25">
        <v>18180</v>
      </c>
      <c r="F36" s="25">
        <v>17089</v>
      </c>
      <c r="G36" s="26">
        <f t="shared" si="0"/>
        <v>1091</v>
      </c>
      <c r="H36" s="28">
        <f t="shared" si="1"/>
        <v>6.0011001100110012E-2</v>
      </c>
      <c r="I36" s="20" t="str">
        <f t="shared" si="2"/>
        <v>On / Under Budget</v>
      </c>
      <c r="J36" s="19" t="s">
        <v>36</v>
      </c>
    </row>
    <row r="37" spans="1:10">
      <c r="A37" s="22">
        <v>46113</v>
      </c>
      <c r="B37" s="19" t="s">
        <v>44</v>
      </c>
      <c r="C37" s="19" t="s">
        <v>21</v>
      </c>
      <c r="D37" s="19" t="s">
        <v>45</v>
      </c>
      <c r="E37" s="25">
        <v>35350</v>
      </c>
      <c r="F37" s="25">
        <v>35138</v>
      </c>
      <c r="G37" s="26">
        <f t="shared" si="0"/>
        <v>212</v>
      </c>
      <c r="H37" s="28">
        <f t="shared" si="1"/>
        <v>5.997171145685997E-3</v>
      </c>
      <c r="I37" s="20" t="str">
        <f t="shared" si="2"/>
        <v>On / Under Budget</v>
      </c>
      <c r="J37" s="19" t="s">
        <v>36</v>
      </c>
    </row>
    <row r="38" spans="1:10">
      <c r="A38" s="22">
        <v>46113</v>
      </c>
      <c r="B38" s="19" t="s">
        <v>37</v>
      </c>
      <c r="C38" s="19" t="s">
        <v>22</v>
      </c>
      <c r="D38" s="19" t="s">
        <v>38</v>
      </c>
      <c r="E38" s="25">
        <v>15150</v>
      </c>
      <c r="F38" s="25">
        <v>15877</v>
      </c>
      <c r="G38" s="26">
        <f t="shared" si="0"/>
        <v>-727</v>
      </c>
      <c r="H38" s="28">
        <f t="shared" si="1"/>
        <v>-4.7986798679867985E-2</v>
      </c>
      <c r="I38" s="20" t="str">
        <f t="shared" si="2"/>
        <v>Over Budget</v>
      </c>
      <c r="J38" s="19" t="s">
        <v>40</v>
      </c>
    </row>
    <row r="39" spans="1:10">
      <c r="A39" s="22">
        <v>46113</v>
      </c>
      <c r="B39" s="19" t="s">
        <v>44</v>
      </c>
      <c r="C39" s="19" t="s">
        <v>23</v>
      </c>
      <c r="D39" s="19" t="s">
        <v>45</v>
      </c>
      <c r="E39" s="25">
        <v>10100</v>
      </c>
      <c r="F39" s="25">
        <v>9494</v>
      </c>
      <c r="G39" s="26">
        <f t="shared" si="0"/>
        <v>606</v>
      </c>
      <c r="H39" s="28">
        <f t="shared" si="1"/>
        <v>0.06</v>
      </c>
      <c r="I39" s="20" t="str">
        <f t="shared" si="2"/>
        <v>On / Under Budget</v>
      </c>
      <c r="J39" s="19" t="s">
        <v>36</v>
      </c>
    </row>
    <row r="40" spans="1:10">
      <c r="A40" s="22">
        <v>46143</v>
      </c>
      <c r="B40" s="19" t="s">
        <v>34</v>
      </c>
      <c r="C40" s="19" t="s">
        <v>12</v>
      </c>
      <c r="D40" s="19" t="s">
        <v>35</v>
      </c>
      <c r="E40" s="25">
        <v>198000</v>
      </c>
      <c r="F40" s="25">
        <v>193248</v>
      </c>
      <c r="G40" s="26">
        <f t="shared" ref="G40:G71" si="3">IF(OR(E40="",F40=""),"",E40-F40)</f>
        <v>4752</v>
      </c>
      <c r="H40" s="28">
        <f t="shared" ref="H40:H71" si="4">IFERROR(G40/E40,"")</f>
        <v>2.4E-2</v>
      </c>
      <c r="I40" s="20" t="str">
        <f t="shared" ref="I40:I71" si="5">IF(A40="","",IF(F40="","Pending",IF(G40&lt;0,"Over Budget","On / Under Budget")))</f>
        <v>On / Under Budget</v>
      </c>
      <c r="J40" s="19" t="s">
        <v>36</v>
      </c>
    </row>
    <row r="41" spans="1:10">
      <c r="A41" s="22">
        <v>46143</v>
      </c>
      <c r="B41" s="19" t="s">
        <v>37</v>
      </c>
      <c r="C41" s="19" t="s">
        <v>14</v>
      </c>
      <c r="D41" s="19" t="s">
        <v>38</v>
      </c>
      <c r="E41" s="25">
        <v>59400</v>
      </c>
      <c r="F41" s="25">
        <v>61182</v>
      </c>
      <c r="G41" s="26">
        <f t="shared" si="3"/>
        <v>-1782</v>
      </c>
      <c r="H41" s="28">
        <f t="shared" si="4"/>
        <v>-0.03</v>
      </c>
      <c r="I41" s="20" t="str">
        <f t="shared" si="5"/>
        <v>Over Budget</v>
      </c>
      <c r="J41" s="19" t="s">
        <v>40</v>
      </c>
    </row>
    <row r="42" spans="1:10">
      <c r="A42" s="22">
        <v>46143</v>
      </c>
      <c r="B42" s="19" t="s">
        <v>16</v>
      </c>
      <c r="C42" s="19" t="s">
        <v>16</v>
      </c>
      <c r="D42" s="19" t="s">
        <v>39</v>
      </c>
      <c r="E42" s="25">
        <v>74250</v>
      </c>
      <c r="F42" s="25">
        <v>80487</v>
      </c>
      <c r="G42" s="26">
        <f t="shared" si="3"/>
        <v>-6237</v>
      </c>
      <c r="H42" s="28">
        <f t="shared" si="4"/>
        <v>-8.4000000000000005E-2</v>
      </c>
      <c r="I42" s="20" t="str">
        <f t="shared" si="5"/>
        <v>Over Budget</v>
      </c>
      <c r="J42" s="19" t="s">
        <v>40</v>
      </c>
    </row>
    <row r="43" spans="1:10">
      <c r="A43" s="22">
        <v>46143</v>
      </c>
      <c r="B43" s="19" t="s">
        <v>18</v>
      </c>
      <c r="C43" s="19" t="s">
        <v>18</v>
      </c>
      <c r="D43" s="19" t="s">
        <v>41</v>
      </c>
      <c r="E43" s="25">
        <v>44550</v>
      </c>
      <c r="F43" s="25">
        <v>43481</v>
      </c>
      <c r="G43" s="26">
        <f t="shared" si="3"/>
        <v>1069</v>
      </c>
      <c r="H43" s="28">
        <f t="shared" si="4"/>
        <v>2.3995510662177328E-2</v>
      </c>
      <c r="I43" s="20" t="str">
        <f t="shared" si="5"/>
        <v>On / Under Budget</v>
      </c>
      <c r="J43" s="19" t="s">
        <v>36</v>
      </c>
    </row>
    <row r="44" spans="1:10">
      <c r="A44" s="22">
        <v>46143</v>
      </c>
      <c r="B44" s="19" t="s">
        <v>42</v>
      </c>
      <c r="C44" s="19" t="s">
        <v>20</v>
      </c>
      <c r="D44" s="19" t="s">
        <v>43</v>
      </c>
      <c r="E44" s="25">
        <v>17820</v>
      </c>
      <c r="F44" s="25">
        <v>18355</v>
      </c>
      <c r="G44" s="26">
        <f t="shared" si="3"/>
        <v>-535</v>
      </c>
      <c r="H44" s="28">
        <f t="shared" si="4"/>
        <v>-3.0022446689113354E-2</v>
      </c>
      <c r="I44" s="20" t="str">
        <f t="shared" si="5"/>
        <v>Over Budget</v>
      </c>
      <c r="J44" s="19" t="s">
        <v>40</v>
      </c>
    </row>
    <row r="45" spans="1:10">
      <c r="A45" s="22">
        <v>46143</v>
      </c>
      <c r="B45" s="19" t="s">
        <v>44</v>
      </c>
      <c r="C45" s="19" t="s">
        <v>21</v>
      </c>
      <c r="D45" s="19" t="s">
        <v>45</v>
      </c>
      <c r="E45" s="25">
        <v>34650</v>
      </c>
      <c r="F45" s="25">
        <v>37561</v>
      </c>
      <c r="G45" s="26">
        <f t="shared" si="3"/>
        <v>-2911</v>
      </c>
      <c r="H45" s="28">
        <f t="shared" si="4"/>
        <v>-8.4011544011544009E-2</v>
      </c>
      <c r="I45" s="20" t="str">
        <f t="shared" si="5"/>
        <v>Over Budget</v>
      </c>
      <c r="J45" s="19" t="s">
        <v>40</v>
      </c>
    </row>
    <row r="46" spans="1:10">
      <c r="A46" s="22">
        <v>46143</v>
      </c>
      <c r="B46" s="19" t="s">
        <v>37</v>
      </c>
      <c r="C46" s="19" t="s">
        <v>22</v>
      </c>
      <c r="D46" s="19" t="s">
        <v>38</v>
      </c>
      <c r="E46" s="25">
        <v>14850</v>
      </c>
      <c r="F46" s="25">
        <v>14494</v>
      </c>
      <c r="G46" s="26">
        <f t="shared" si="3"/>
        <v>356</v>
      </c>
      <c r="H46" s="28">
        <f t="shared" si="4"/>
        <v>2.3973063973063972E-2</v>
      </c>
      <c r="I46" s="20" t="str">
        <f t="shared" si="5"/>
        <v>On / Under Budget</v>
      </c>
      <c r="J46" s="19" t="s">
        <v>36</v>
      </c>
    </row>
    <row r="47" spans="1:10">
      <c r="A47" s="22">
        <v>46143</v>
      </c>
      <c r="B47" s="19" t="s">
        <v>44</v>
      </c>
      <c r="C47" s="19" t="s">
        <v>23</v>
      </c>
      <c r="D47" s="19" t="s">
        <v>45</v>
      </c>
      <c r="E47" s="25">
        <v>9900</v>
      </c>
      <c r="F47" s="25">
        <v>10197</v>
      </c>
      <c r="G47" s="26">
        <f t="shared" si="3"/>
        <v>-297</v>
      </c>
      <c r="H47" s="28">
        <f t="shared" si="4"/>
        <v>-0.03</v>
      </c>
      <c r="I47" s="20" t="str">
        <f t="shared" si="5"/>
        <v>Over Budget</v>
      </c>
      <c r="J47" s="19" t="s">
        <v>40</v>
      </c>
    </row>
    <row r="48" spans="1:10">
      <c r="A48" s="22">
        <v>46174</v>
      </c>
      <c r="B48" s="19" t="s">
        <v>34</v>
      </c>
      <c r="C48" s="19" t="s">
        <v>12</v>
      </c>
      <c r="D48" s="19" t="s">
        <v>35</v>
      </c>
      <c r="E48" s="25">
        <v>208000</v>
      </c>
      <c r="F48" s="25">
        <v>221728</v>
      </c>
      <c r="G48" s="26">
        <f t="shared" si="3"/>
        <v>-13728</v>
      </c>
      <c r="H48" s="28">
        <f t="shared" si="4"/>
        <v>-6.6000000000000003E-2</v>
      </c>
      <c r="I48" s="20" t="str">
        <f t="shared" si="5"/>
        <v>Over Budget</v>
      </c>
      <c r="J48" s="19" t="s">
        <v>40</v>
      </c>
    </row>
    <row r="49" spans="1:10">
      <c r="A49" s="22">
        <v>46174</v>
      </c>
      <c r="B49" s="19" t="s">
        <v>37</v>
      </c>
      <c r="C49" s="19" t="s">
        <v>14</v>
      </c>
      <c r="D49" s="19" t="s">
        <v>38</v>
      </c>
      <c r="E49" s="25">
        <v>62400</v>
      </c>
      <c r="F49" s="25">
        <v>59779</v>
      </c>
      <c r="G49" s="26">
        <f t="shared" si="3"/>
        <v>2621</v>
      </c>
      <c r="H49" s="28">
        <f t="shared" si="4"/>
        <v>4.2003205128205129E-2</v>
      </c>
      <c r="I49" s="20" t="str">
        <f t="shared" si="5"/>
        <v>On / Under Budget</v>
      </c>
      <c r="J49" s="19" t="s">
        <v>36</v>
      </c>
    </row>
    <row r="50" spans="1:10">
      <c r="A50" s="22">
        <v>46174</v>
      </c>
      <c r="B50" s="19" t="s">
        <v>16</v>
      </c>
      <c r="C50" s="19" t="s">
        <v>16</v>
      </c>
      <c r="D50" s="19" t="s">
        <v>39</v>
      </c>
      <c r="E50" s="25">
        <v>78000</v>
      </c>
      <c r="F50" s="25">
        <v>78936</v>
      </c>
      <c r="G50" s="26">
        <f t="shared" si="3"/>
        <v>-936</v>
      </c>
      <c r="H50" s="28">
        <f t="shared" si="4"/>
        <v>-1.2E-2</v>
      </c>
      <c r="I50" s="20" t="str">
        <f t="shared" si="5"/>
        <v>Over Budget</v>
      </c>
      <c r="J50" s="19" t="s">
        <v>40</v>
      </c>
    </row>
    <row r="51" spans="1:10">
      <c r="A51" s="22">
        <v>46174</v>
      </c>
      <c r="B51" s="19" t="s">
        <v>18</v>
      </c>
      <c r="C51" s="19" t="s">
        <v>18</v>
      </c>
      <c r="D51" s="19" t="s">
        <v>41</v>
      </c>
      <c r="E51" s="25">
        <v>46800</v>
      </c>
      <c r="F51" s="25">
        <v>49889</v>
      </c>
      <c r="G51" s="26">
        <f t="shared" si="3"/>
        <v>-3089</v>
      </c>
      <c r="H51" s="28">
        <f t="shared" si="4"/>
        <v>-6.60042735042735E-2</v>
      </c>
      <c r="I51" s="20" t="str">
        <f t="shared" si="5"/>
        <v>Over Budget</v>
      </c>
      <c r="J51" s="19" t="s">
        <v>40</v>
      </c>
    </row>
    <row r="52" spans="1:10">
      <c r="A52" s="22">
        <v>46174</v>
      </c>
      <c r="B52" s="19" t="s">
        <v>42</v>
      </c>
      <c r="C52" s="19" t="s">
        <v>20</v>
      </c>
      <c r="D52" s="19" t="s">
        <v>43</v>
      </c>
      <c r="E52" s="25">
        <v>18720</v>
      </c>
      <c r="F52" s="25">
        <v>17934</v>
      </c>
      <c r="G52" s="26">
        <f t="shared" si="3"/>
        <v>786</v>
      </c>
      <c r="H52" s="28">
        <f t="shared" si="4"/>
        <v>4.1987179487179484E-2</v>
      </c>
      <c r="I52" s="20" t="str">
        <f t="shared" si="5"/>
        <v>On / Under Budget</v>
      </c>
      <c r="J52" s="19" t="s">
        <v>36</v>
      </c>
    </row>
    <row r="53" spans="1:10">
      <c r="A53" s="22">
        <v>46174</v>
      </c>
      <c r="B53" s="19" t="s">
        <v>44</v>
      </c>
      <c r="C53" s="19" t="s">
        <v>21</v>
      </c>
      <c r="D53" s="19" t="s">
        <v>45</v>
      </c>
      <c r="E53" s="25">
        <v>36400</v>
      </c>
      <c r="F53" s="25">
        <v>36837</v>
      </c>
      <c r="G53" s="26">
        <f t="shared" si="3"/>
        <v>-437</v>
      </c>
      <c r="H53" s="28">
        <f t="shared" si="4"/>
        <v>-1.2005494505494506E-2</v>
      </c>
      <c r="I53" s="20" t="str">
        <f t="shared" si="5"/>
        <v>Over Budget</v>
      </c>
      <c r="J53" s="19" t="s">
        <v>40</v>
      </c>
    </row>
    <row r="54" spans="1:10">
      <c r="A54" s="22">
        <v>46174</v>
      </c>
      <c r="B54" s="19" t="s">
        <v>37</v>
      </c>
      <c r="C54" s="19" t="s">
        <v>22</v>
      </c>
      <c r="D54" s="19" t="s">
        <v>38</v>
      </c>
      <c r="E54" s="25">
        <v>15600</v>
      </c>
      <c r="F54" s="25">
        <v>16630</v>
      </c>
      <c r="G54" s="26">
        <f t="shared" si="3"/>
        <v>-1030</v>
      </c>
      <c r="H54" s="28">
        <f t="shared" si="4"/>
        <v>-6.6025641025641027E-2</v>
      </c>
      <c r="I54" s="20" t="str">
        <f t="shared" si="5"/>
        <v>Over Budget</v>
      </c>
      <c r="J54" s="19" t="s">
        <v>40</v>
      </c>
    </row>
    <row r="55" spans="1:10">
      <c r="A55" s="22">
        <v>46174</v>
      </c>
      <c r="B55" s="19" t="s">
        <v>44</v>
      </c>
      <c r="C55" s="19" t="s">
        <v>23</v>
      </c>
      <c r="D55" s="19" t="s">
        <v>45</v>
      </c>
      <c r="E55" s="25">
        <v>10400</v>
      </c>
      <c r="F55" s="25">
        <v>9963</v>
      </c>
      <c r="G55" s="26">
        <f t="shared" si="3"/>
        <v>437</v>
      </c>
      <c r="H55" s="28">
        <f t="shared" si="4"/>
        <v>4.2019230769230767E-2</v>
      </c>
      <c r="I55" s="20" t="str">
        <f t="shared" si="5"/>
        <v>On / Under Budget</v>
      </c>
      <c r="J55" s="19" t="s">
        <v>36</v>
      </c>
    </row>
    <row r="56" spans="1:10">
      <c r="A56" s="22">
        <v>46204</v>
      </c>
      <c r="B56" s="19" t="s">
        <v>34</v>
      </c>
      <c r="C56" s="19" t="s">
        <v>12</v>
      </c>
      <c r="D56" s="19" t="s">
        <v>35</v>
      </c>
      <c r="E56" s="25">
        <v>204000</v>
      </c>
      <c r="F56" s="25">
        <v>202776</v>
      </c>
      <c r="G56" s="26">
        <f t="shared" si="3"/>
        <v>1224</v>
      </c>
      <c r="H56" s="28">
        <f t="shared" si="4"/>
        <v>6.0000000000000001E-3</v>
      </c>
      <c r="I56" s="20" t="str">
        <f t="shared" si="5"/>
        <v>On / Under Budget</v>
      </c>
      <c r="J56" s="19" t="s">
        <v>36</v>
      </c>
    </row>
    <row r="57" spans="1:10">
      <c r="A57" s="22">
        <v>46204</v>
      </c>
      <c r="B57" s="19" t="s">
        <v>37</v>
      </c>
      <c r="C57" s="19" t="s">
        <v>14</v>
      </c>
      <c r="D57" s="19" t="s">
        <v>38</v>
      </c>
      <c r="E57" s="25">
        <v>61200</v>
      </c>
      <c r="F57" s="25">
        <v>64138</v>
      </c>
      <c r="G57" s="26">
        <f t="shared" si="3"/>
        <v>-2938</v>
      </c>
      <c r="H57" s="28">
        <f t="shared" si="4"/>
        <v>-4.8006535947712418E-2</v>
      </c>
      <c r="I57" s="20" t="str">
        <f t="shared" si="5"/>
        <v>Over Budget</v>
      </c>
      <c r="J57" s="19" t="s">
        <v>40</v>
      </c>
    </row>
    <row r="58" spans="1:10">
      <c r="A58" s="22">
        <v>46204</v>
      </c>
      <c r="B58" s="19" t="s">
        <v>16</v>
      </c>
      <c r="C58" s="19" t="s">
        <v>16</v>
      </c>
      <c r="D58" s="19" t="s">
        <v>39</v>
      </c>
      <c r="E58" s="25">
        <v>76500</v>
      </c>
      <c r="F58" s="25">
        <v>71910</v>
      </c>
      <c r="G58" s="26">
        <f t="shared" si="3"/>
        <v>4590</v>
      </c>
      <c r="H58" s="28">
        <f t="shared" si="4"/>
        <v>0.06</v>
      </c>
      <c r="I58" s="20" t="str">
        <f t="shared" si="5"/>
        <v>On / Under Budget</v>
      </c>
      <c r="J58" s="19" t="s">
        <v>36</v>
      </c>
    </row>
    <row r="59" spans="1:10">
      <c r="A59" s="22">
        <v>46204</v>
      </c>
      <c r="B59" s="19" t="s">
        <v>18</v>
      </c>
      <c r="C59" s="19" t="s">
        <v>18</v>
      </c>
      <c r="D59" s="19" t="s">
        <v>41</v>
      </c>
      <c r="E59" s="25">
        <v>45900</v>
      </c>
      <c r="F59" s="25">
        <v>45625</v>
      </c>
      <c r="G59" s="26">
        <f t="shared" si="3"/>
        <v>275</v>
      </c>
      <c r="H59" s="28">
        <f t="shared" si="4"/>
        <v>5.9912854030501088E-3</v>
      </c>
      <c r="I59" s="20" t="str">
        <f t="shared" si="5"/>
        <v>On / Under Budget</v>
      </c>
      <c r="J59" s="19" t="s">
        <v>36</v>
      </c>
    </row>
    <row r="60" spans="1:10">
      <c r="A60" s="22">
        <v>46204</v>
      </c>
      <c r="B60" s="19" t="s">
        <v>42</v>
      </c>
      <c r="C60" s="19" t="s">
        <v>20</v>
      </c>
      <c r="D60" s="19" t="s">
        <v>43</v>
      </c>
      <c r="E60" s="25">
        <v>18360</v>
      </c>
      <c r="F60" s="25">
        <v>19241</v>
      </c>
      <c r="G60" s="26">
        <f t="shared" si="3"/>
        <v>-881</v>
      </c>
      <c r="H60" s="28">
        <f t="shared" si="4"/>
        <v>-4.7984749455337691E-2</v>
      </c>
      <c r="I60" s="20" t="str">
        <f t="shared" si="5"/>
        <v>Over Budget</v>
      </c>
      <c r="J60" s="19" t="s">
        <v>40</v>
      </c>
    </row>
    <row r="61" spans="1:10">
      <c r="A61" s="22">
        <v>46204</v>
      </c>
      <c r="B61" s="19" t="s">
        <v>44</v>
      </c>
      <c r="C61" s="19" t="s">
        <v>21</v>
      </c>
      <c r="D61" s="19" t="s">
        <v>45</v>
      </c>
      <c r="E61" s="25">
        <v>35700</v>
      </c>
      <c r="F61" s="25">
        <v>33558</v>
      </c>
      <c r="G61" s="26">
        <f t="shared" si="3"/>
        <v>2142</v>
      </c>
      <c r="H61" s="28">
        <f t="shared" si="4"/>
        <v>0.06</v>
      </c>
      <c r="I61" s="20" t="str">
        <f t="shared" si="5"/>
        <v>On / Under Budget</v>
      </c>
      <c r="J61" s="19" t="s">
        <v>36</v>
      </c>
    </row>
    <row r="62" spans="1:10">
      <c r="A62" s="22">
        <v>46204</v>
      </c>
      <c r="B62" s="19" t="s">
        <v>37</v>
      </c>
      <c r="C62" s="19" t="s">
        <v>22</v>
      </c>
      <c r="D62" s="19" t="s">
        <v>38</v>
      </c>
      <c r="E62" s="25">
        <v>15300</v>
      </c>
      <c r="F62" s="25">
        <v>15208</v>
      </c>
      <c r="G62" s="26">
        <f t="shared" si="3"/>
        <v>92</v>
      </c>
      <c r="H62" s="28">
        <f t="shared" si="4"/>
        <v>6.0130718954248367E-3</v>
      </c>
      <c r="I62" s="20" t="str">
        <f t="shared" si="5"/>
        <v>On / Under Budget</v>
      </c>
      <c r="J62" s="19" t="s">
        <v>36</v>
      </c>
    </row>
    <row r="63" spans="1:10">
      <c r="A63" s="22">
        <v>46204</v>
      </c>
      <c r="B63" s="19" t="s">
        <v>44</v>
      </c>
      <c r="C63" s="19" t="s">
        <v>23</v>
      </c>
      <c r="D63" s="19" t="s">
        <v>45</v>
      </c>
      <c r="E63" s="25">
        <v>10200</v>
      </c>
      <c r="F63" s="25">
        <v>10690</v>
      </c>
      <c r="G63" s="26">
        <f t="shared" si="3"/>
        <v>-490</v>
      </c>
      <c r="H63" s="28">
        <f t="shared" si="4"/>
        <v>-4.8039215686274513E-2</v>
      </c>
      <c r="I63" s="20" t="str">
        <f t="shared" si="5"/>
        <v>Over Budget</v>
      </c>
      <c r="J63" s="19" t="s">
        <v>40</v>
      </c>
    </row>
    <row r="64" spans="1:10">
      <c r="A64" s="22">
        <v>46235</v>
      </c>
      <c r="B64" s="19" t="s">
        <v>34</v>
      </c>
      <c r="C64" s="19" t="s">
        <v>12</v>
      </c>
      <c r="D64" s="19" t="s">
        <v>35</v>
      </c>
      <c r="E64" s="25">
        <v>200000</v>
      </c>
      <c r="F64" s="25"/>
      <c r="G64" s="26" t="str">
        <f t="shared" si="3"/>
        <v/>
      </c>
      <c r="H64" s="28" t="str">
        <f t="shared" si="4"/>
        <v/>
      </c>
      <c r="I64" s="20" t="str">
        <f t="shared" si="5"/>
        <v>Pending</v>
      </c>
      <c r="J64" s="19" t="s">
        <v>46</v>
      </c>
    </row>
    <row r="65" spans="1:10">
      <c r="A65" s="22">
        <v>46235</v>
      </c>
      <c r="B65" s="19" t="s">
        <v>37</v>
      </c>
      <c r="C65" s="19" t="s">
        <v>14</v>
      </c>
      <c r="D65" s="19" t="s">
        <v>38</v>
      </c>
      <c r="E65" s="25">
        <v>60000</v>
      </c>
      <c r="F65" s="25"/>
      <c r="G65" s="26" t="str">
        <f t="shared" si="3"/>
        <v/>
      </c>
      <c r="H65" s="28" t="str">
        <f t="shared" si="4"/>
        <v/>
      </c>
      <c r="I65" s="20" t="str">
        <f t="shared" si="5"/>
        <v>Pending</v>
      </c>
      <c r="J65" s="19" t="s">
        <v>46</v>
      </c>
    </row>
    <row r="66" spans="1:10">
      <c r="A66" s="22">
        <v>46235</v>
      </c>
      <c r="B66" s="19" t="s">
        <v>16</v>
      </c>
      <c r="C66" s="19" t="s">
        <v>16</v>
      </c>
      <c r="D66" s="19" t="s">
        <v>39</v>
      </c>
      <c r="E66" s="25">
        <v>75000</v>
      </c>
      <c r="F66" s="25"/>
      <c r="G66" s="26" t="str">
        <f t="shared" si="3"/>
        <v/>
      </c>
      <c r="H66" s="28" t="str">
        <f t="shared" si="4"/>
        <v/>
      </c>
      <c r="I66" s="20" t="str">
        <f t="shared" si="5"/>
        <v>Pending</v>
      </c>
      <c r="J66" s="19" t="s">
        <v>46</v>
      </c>
    </row>
    <row r="67" spans="1:10">
      <c r="A67" s="22">
        <v>46235</v>
      </c>
      <c r="B67" s="19" t="s">
        <v>18</v>
      </c>
      <c r="C67" s="19" t="s">
        <v>18</v>
      </c>
      <c r="D67" s="19" t="s">
        <v>41</v>
      </c>
      <c r="E67" s="25">
        <v>45000</v>
      </c>
      <c r="F67" s="25"/>
      <c r="G67" s="26" t="str">
        <f t="shared" si="3"/>
        <v/>
      </c>
      <c r="H67" s="28" t="str">
        <f t="shared" si="4"/>
        <v/>
      </c>
      <c r="I67" s="20" t="str">
        <f t="shared" si="5"/>
        <v>Pending</v>
      </c>
      <c r="J67" s="19" t="s">
        <v>46</v>
      </c>
    </row>
    <row r="68" spans="1:10">
      <c r="A68" s="22">
        <v>46235</v>
      </c>
      <c r="B68" s="19" t="s">
        <v>42</v>
      </c>
      <c r="C68" s="19" t="s">
        <v>20</v>
      </c>
      <c r="D68" s="19" t="s">
        <v>43</v>
      </c>
      <c r="E68" s="25">
        <v>18000</v>
      </c>
      <c r="F68" s="25"/>
      <c r="G68" s="26" t="str">
        <f t="shared" si="3"/>
        <v/>
      </c>
      <c r="H68" s="28" t="str">
        <f t="shared" si="4"/>
        <v/>
      </c>
      <c r="I68" s="20" t="str">
        <f t="shared" si="5"/>
        <v>Pending</v>
      </c>
      <c r="J68" s="19" t="s">
        <v>46</v>
      </c>
    </row>
    <row r="69" spans="1:10">
      <c r="A69" s="22">
        <v>46235</v>
      </c>
      <c r="B69" s="19" t="s">
        <v>44</v>
      </c>
      <c r="C69" s="19" t="s">
        <v>21</v>
      </c>
      <c r="D69" s="19" t="s">
        <v>45</v>
      </c>
      <c r="E69" s="25">
        <v>35000</v>
      </c>
      <c r="F69" s="25"/>
      <c r="G69" s="26" t="str">
        <f t="shared" si="3"/>
        <v/>
      </c>
      <c r="H69" s="28" t="str">
        <f t="shared" si="4"/>
        <v/>
      </c>
      <c r="I69" s="20" t="str">
        <f t="shared" si="5"/>
        <v>Pending</v>
      </c>
      <c r="J69" s="19" t="s">
        <v>46</v>
      </c>
    </row>
    <row r="70" spans="1:10">
      <c r="A70" s="22">
        <v>46235</v>
      </c>
      <c r="B70" s="19" t="s">
        <v>37</v>
      </c>
      <c r="C70" s="19" t="s">
        <v>22</v>
      </c>
      <c r="D70" s="19" t="s">
        <v>38</v>
      </c>
      <c r="E70" s="25">
        <v>15000</v>
      </c>
      <c r="F70" s="25"/>
      <c r="G70" s="26" t="str">
        <f t="shared" si="3"/>
        <v/>
      </c>
      <c r="H70" s="28" t="str">
        <f t="shared" si="4"/>
        <v/>
      </c>
      <c r="I70" s="20" t="str">
        <f t="shared" si="5"/>
        <v>Pending</v>
      </c>
      <c r="J70" s="19" t="s">
        <v>46</v>
      </c>
    </row>
    <row r="71" spans="1:10">
      <c r="A71" s="22">
        <v>46235</v>
      </c>
      <c r="B71" s="19" t="s">
        <v>44</v>
      </c>
      <c r="C71" s="19" t="s">
        <v>23</v>
      </c>
      <c r="D71" s="19" t="s">
        <v>45</v>
      </c>
      <c r="E71" s="25">
        <v>10000</v>
      </c>
      <c r="F71" s="25"/>
      <c r="G71" s="26" t="str">
        <f t="shared" si="3"/>
        <v/>
      </c>
      <c r="H71" s="28" t="str">
        <f t="shared" si="4"/>
        <v/>
      </c>
      <c r="I71" s="20" t="str">
        <f t="shared" si="5"/>
        <v>Pending</v>
      </c>
      <c r="J71" s="19" t="s">
        <v>46</v>
      </c>
    </row>
    <row r="72" spans="1:10">
      <c r="A72" s="22">
        <v>46266</v>
      </c>
      <c r="B72" s="19" t="s">
        <v>34</v>
      </c>
      <c r="C72" s="19" t="s">
        <v>12</v>
      </c>
      <c r="D72" s="19" t="s">
        <v>35</v>
      </c>
      <c r="E72" s="25">
        <v>206000</v>
      </c>
      <c r="F72" s="25"/>
      <c r="G72" s="26" t="str">
        <f t="shared" ref="G72:G103" si="6">IF(OR(E72="",F72=""),"",E72-F72)</f>
        <v/>
      </c>
      <c r="H72" s="28" t="str">
        <f t="shared" ref="H72:H103" si="7">IFERROR(G72/E72,"")</f>
        <v/>
      </c>
      <c r="I72" s="20" t="str">
        <f t="shared" ref="I72:I103" si="8">IF(A72="","",IF(F72="","Pending",IF(G72&lt;0,"Over Budget","On / Under Budget")))</f>
        <v>Pending</v>
      </c>
      <c r="J72" s="19" t="s">
        <v>46</v>
      </c>
    </row>
    <row r="73" spans="1:10">
      <c r="A73" s="22">
        <v>46266</v>
      </c>
      <c r="B73" s="19" t="s">
        <v>37</v>
      </c>
      <c r="C73" s="19" t="s">
        <v>14</v>
      </c>
      <c r="D73" s="19" t="s">
        <v>38</v>
      </c>
      <c r="E73" s="25">
        <v>61800</v>
      </c>
      <c r="F73" s="25"/>
      <c r="G73" s="26" t="str">
        <f t="shared" si="6"/>
        <v/>
      </c>
      <c r="H73" s="28" t="str">
        <f t="shared" si="7"/>
        <v/>
      </c>
      <c r="I73" s="20" t="str">
        <f t="shared" si="8"/>
        <v>Pending</v>
      </c>
      <c r="J73" s="19" t="s">
        <v>46</v>
      </c>
    </row>
    <row r="74" spans="1:10">
      <c r="A74" s="22">
        <v>46266</v>
      </c>
      <c r="B74" s="19" t="s">
        <v>16</v>
      </c>
      <c r="C74" s="19" t="s">
        <v>16</v>
      </c>
      <c r="D74" s="19" t="s">
        <v>39</v>
      </c>
      <c r="E74" s="25">
        <v>77250</v>
      </c>
      <c r="F74" s="25"/>
      <c r="G74" s="26" t="str">
        <f t="shared" si="6"/>
        <v/>
      </c>
      <c r="H74" s="28" t="str">
        <f t="shared" si="7"/>
        <v/>
      </c>
      <c r="I74" s="20" t="str">
        <f t="shared" si="8"/>
        <v>Pending</v>
      </c>
      <c r="J74" s="19" t="s">
        <v>46</v>
      </c>
    </row>
    <row r="75" spans="1:10">
      <c r="A75" s="22">
        <v>46266</v>
      </c>
      <c r="B75" s="19" t="s">
        <v>18</v>
      </c>
      <c r="C75" s="19" t="s">
        <v>18</v>
      </c>
      <c r="D75" s="19" t="s">
        <v>41</v>
      </c>
      <c r="E75" s="25">
        <v>46350</v>
      </c>
      <c r="F75" s="25"/>
      <c r="G75" s="26" t="str">
        <f t="shared" si="6"/>
        <v/>
      </c>
      <c r="H75" s="28" t="str">
        <f t="shared" si="7"/>
        <v/>
      </c>
      <c r="I75" s="20" t="str">
        <f t="shared" si="8"/>
        <v>Pending</v>
      </c>
      <c r="J75" s="19" t="s">
        <v>46</v>
      </c>
    </row>
    <row r="76" spans="1:10">
      <c r="A76" s="22">
        <v>46266</v>
      </c>
      <c r="B76" s="19" t="s">
        <v>42</v>
      </c>
      <c r="C76" s="19" t="s">
        <v>20</v>
      </c>
      <c r="D76" s="19" t="s">
        <v>43</v>
      </c>
      <c r="E76" s="25">
        <v>18540</v>
      </c>
      <c r="F76" s="25"/>
      <c r="G76" s="26" t="str">
        <f t="shared" si="6"/>
        <v/>
      </c>
      <c r="H76" s="28" t="str">
        <f t="shared" si="7"/>
        <v/>
      </c>
      <c r="I76" s="20" t="str">
        <f t="shared" si="8"/>
        <v>Pending</v>
      </c>
      <c r="J76" s="19" t="s">
        <v>46</v>
      </c>
    </row>
    <row r="77" spans="1:10">
      <c r="A77" s="22">
        <v>46266</v>
      </c>
      <c r="B77" s="19" t="s">
        <v>44</v>
      </c>
      <c r="C77" s="19" t="s">
        <v>21</v>
      </c>
      <c r="D77" s="19" t="s">
        <v>45</v>
      </c>
      <c r="E77" s="25">
        <v>36050</v>
      </c>
      <c r="F77" s="25"/>
      <c r="G77" s="26" t="str">
        <f t="shared" si="6"/>
        <v/>
      </c>
      <c r="H77" s="28" t="str">
        <f t="shared" si="7"/>
        <v/>
      </c>
      <c r="I77" s="20" t="str">
        <f t="shared" si="8"/>
        <v>Pending</v>
      </c>
      <c r="J77" s="19" t="s">
        <v>46</v>
      </c>
    </row>
    <row r="78" spans="1:10">
      <c r="A78" s="22">
        <v>46266</v>
      </c>
      <c r="B78" s="19" t="s">
        <v>37</v>
      </c>
      <c r="C78" s="19" t="s">
        <v>22</v>
      </c>
      <c r="D78" s="19" t="s">
        <v>38</v>
      </c>
      <c r="E78" s="25">
        <v>15450</v>
      </c>
      <c r="F78" s="25"/>
      <c r="G78" s="26" t="str">
        <f t="shared" si="6"/>
        <v/>
      </c>
      <c r="H78" s="28" t="str">
        <f t="shared" si="7"/>
        <v/>
      </c>
      <c r="I78" s="20" t="str">
        <f t="shared" si="8"/>
        <v>Pending</v>
      </c>
      <c r="J78" s="19" t="s">
        <v>46</v>
      </c>
    </row>
    <row r="79" spans="1:10">
      <c r="A79" s="22">
        <v>46266</v>
      </c>
      <c r="B79" s="19" t="s">
        <v>44</v>
      </c>
      <c r="C79" s="19" t="s">
        <v>23</v>
      </c>
      <c r="D79" s="19" t="s">
        <v>45</v>
      </c>
      <c r="E79" s="25">
        <v>10300</v>
      </c>
      <c r="F79" s="25"/>
      <c r="G79" s="26" t="str">
        <f t="shared" si="6"/>
        <v/>
      </c>
      <c r="H79" s="28" t="str">
        <f t="shared" si="7"/>
        <v/>
      </c>
      <c r="I79" s="20" t="str">
        <f t="shared" si="8"/>
        <v>Pending</v>
      </c>
      <c r="J79" s="19" t="s">
        <v>46</v>
      </c>
    </row>
    <row r="80" spans="1:10">
      <c r="A80" s="22">
        <v>46296</v>
      </c>
      <c r="B80" s="19" t="s">
        <v>34</v>
      </c>
      <c r="C80" s="19" t="s">
        <v>12</v>
      </c>
      <c r="D80" s="19" t="s">
        <v>35</v>
      </c>
      <c r="E80" s="25">
        <v>202000</v>
      </c>
      <c r="F80" s="25"/>
      <c r="G80" s="26" t="str">
        <f t="shared" si="6"/>
        <v/>
      </c>
      <c r="H80" s="28" t="str">
        <f t="shared" si="7"/>
        <v/>
      </c>
      <c r="I80" s="20" t="str">
        <f t="shared" si="8"/>
        <v>Pending</v>
      </c>
      <c r="J80" s="19" t="s">
        <v>46</v>
      </c>
    </row>
    <row r="81" spans="1:10">
      <c r="A81" s="22">
        <v>46296</v>
      </c>
      <c r="B81" s="19" t="s">
        <v>37</v>
      </c>
      <c r="C81" s="19" t="s">
        <v>14</v>
      </c>
      <c r="D81" s="19" t="s">
        <v>38</v>
      </c>
      <c r="E81" s="25">
        <v>60600</v>
      </c>
      <c r="F81" s="25"/>
      <c r="G81" s="26" t="str">
        <f t="shared" si="6"/>
        <v/>
      </c>
      <c r="H81" s="28" t="str">
        <f t="shared" si="7"/>
        <v/>
      </c>
      <c r="I81" s="20" t="str">
        <f t="shared" si="8"/>
        <v>Pending</v>
      </c>
      <c r="J81" s="19" t="s">
        <v>46</v>
      </c>
    </row>
    <row r="82" spans="1:10">
      <c r="A82" s="22">
        <v>46296</v>
      </c>
      <c r="B82" s="19" t="s">
        <v>16</v>
      </c>
      <c r="C82" s="19" t="s">
        <v>16</v>
      </c>
      <c r="D82" s="19" t="s">
        <v>39</v>
      </c>
      <c r="E82" s="25">
        <v>75750</v>
      </c>
      <c r="F82" s="25"/>
      <c r="G82" s="26" t="str">
        <f t="shared" si="6"/>
        <v/>
      </c>
      <c r="H82" s="28" t="str">
        <f t="shared" si="7"/>
        <v/>
      </c>
      <c r="I82" s="20" t="str">
        <f t="shared" si="8"/>
        <v>Pending</v>
      </c>
      <c r="J82" s="19" t="s">
        <v>46</v>
      </c>
    </row>
    <row r="83" spans="1:10">
      <c r="A83" s="22">
        <v>46296</v>
      </c>
      <c r="B83" s="19" t="s">
        <v>18</v>
      </c>
      <c r="C83" s="19" t="s">
        <v>18</v>
      </c>
      <c r="D83" s="19" t="s">
        <v>41</v>
      </c>
      <c r="E83" s="25">
        <v>45450</v>
      </c>
      <c r="F83" s="25"/>
      <c r="G83" s="26" t="str">
        <f t="shared" si="6"/>
        <v/>
      </c>
      <c r="H83" s="28" t="str">
        <f t="shared" si="7"/>
        <v/>
      </c>
      <c r="I83" s="20" t="str">
        <f t="shared" si="8"/>
        <v>Pending</v>
      </c>
      <c r="J83" s="19" t="s">
        <v>46</v>
      </c>
    </row>
    <row r="84" spans="1:10">
      <c r="A84" s="22">
        <v>46296</v>
      </c>
      <c r="B84" s="19" t="s">
        <v>42</v>
      </c>
      <c r="C84" s="19" t="s">
        <v>20</v>
      </c>
      <c r="D84" s="19" t="s">
        <v>43</v>
      </c>
      <c r="E84" s="25">
        <v>18180</v>
      </c>
      <c r="F84" s="25"/>
      <c r="G84" s="26" t="str">
        <f t="shared" si="6"/>
        <v/>
      </c>
      <c r="H84" s="28" t="str">
        <f t="shared" si="7"/>
        <v/>
      </c>
      <c r="I84" s="20" t="str">
        <f t="shared" si="8"/>
        <v>Pending</v>
      </c>
      <c r="J84" s="19" t="s">
        <v>46</v>
      </c>
    </row>
    <row r="85" spans="1:10">
      <c r="A85" s="22">
        <v>46296</v>
      </c>
      <c r="B85" s="19" t="s">
        <v>44</v>
      </c>
      <c r="C85" s="19" t="s">
        <v>21</v>
      </c>
      <c r="D85" s="19" t="s">
        <v>45</v>
      </c>
      <c r="E85" s="25">
        <v>35350</v>
      </c>
      <c r="F85" s="25"/>
      <c r="G85" s="26" t="str">
        <f t="shared" si="6"/>
        <v/>
      </c>
      <c r="H85" s="28" t="str">
        <f t="shared" si="7"/>
        <v/>
      </c>
      <c r="I85" s="20" t="str">
        <f t="shared" si="8"/>
        <v>Pending</v>
      </c>
      <c r="J85" s="19" t="s">
        <v>46</v>
      </c>
    </row>
    <row r="86" spans="1:10">
      <c r="A86" s="22">
        <v>46296</v>
      </c>
      <c r="B86" s="19" t="s">
        <v>37</v>
      </c>
      <c r="C86" s="19" t="s">
        <v>22</v>
      </c>
      <c r="D86" s="19" t="s">
        <v>38</v>
      </c>
      <c r="E86" s="25">
        <v>15150</v>
      </c>
      <c r="F86" s="25"/>
      <c r="G86" s="26" t="str">
        <f t="shared" si="6"/>
        <v/>
      </c>
      <c r="H86" s="28" t="str">
        <f t="shared" si="7"/>
        <v/>
      </c>
      <c r="I86" s="20" t="str">
        <f t="shared" si="8"/>
        <v>Pending</v>
      </c>
      <c r="J86" s="19" t="s">
        <v>46</v>
      </c>
    </row>
    <row r="87" spans="1:10">
      <c r="A87" s="22">
        <v>46296</v>
      </c>
      <c r="B87" s="19" t="s">
        <v>44</v>
      </c>
      <c r="C87" s="19" t="s">
        <v>23</v>
      </c>
      <c r="D87" s="19" t="s">
        <v>45</v>
      </c>
      <c r="E87" s="25">
        <v>10100</v>
      </c>
      <c r="F87" s="25"/>
      <c r="G87" s="26" t="str">
        <f t="shared" si="6"/>
        <v/>
      </c>
      <c r="H87" s="28" t="str">
        <f t="shared" si="7"/>
        <v/>
      </c>
      <c r="I87" s="20" t="str">
        <f t="shared" si="8"/>
        <v>Pending</v>
      </c>
      <c r="J87" s="19" t="s">
        <v>46</v>
      </c>
    </row>
    <row r="88" spans="1:10">
      <c r="A88" s="22">
        <v>46327</v>
      </c>
      <c r="B88" s="19" t="s">
        <v>34</v>
      </c>
      <c r="C88" s="19" t="s">
        <v>12</v>
      </c>
      <c r="D88" s="19" t="s">
        <v>35</v>
      </c>
      <c r="E88" s="25">
        <v>212000</v>
      </c>
      <c r="F88" s="25"/>
      <c r="G88" s="26" t="str">
        <f t="shared" si="6"/>
        <v/>
      </c>
      <c r="H88" s="28" t="str">
        <f t="shared" si="7"/>
        <v/>
      </c>
      <c r="I88" s="20" t="str">
        <f t="shared" si="8"/>
        <v>Pending</v>
      </c>
      <c r="J88" s="19" t="s">
        <v>46</v>
      </c>
    </row>
    <row r="89" spans="1:10">
      <c r="A89" s="22">
        <v>46327</v>
      </c>
      <c r="B89" s="19" t="s">
        <v>37</v>
      </c>
      <c r="C89" s="19" t="s">
        <v>14</v>
      </c>
      <c r="D89" s="19" t="s">
        <v>38</v>
      </c>
      <c r="E89" s="25">
        <v>63600</v>
      </c>
      <c r="F89" s="25"/>
      <c r="G89" s="26" t="str">
        <f t="shared" si="6"/>
        <v/>
      </c>
      <c r="H89" s="28" t="str">
        <f t="shared" si="7"/>
        <v/>
      </c>
      <c r="I89" s="20" t="str">
        <f t="shared" si="8"/>
        <v>Pending</v>
      </c>
      <c r="J89" s="19" t="s">
        <v>46</v>
      </c>
    </row>
    <row r="90" spans="1:10">
      <c r="A90" s="22">
        <v>46327</v>
      </c>
      <c r="B90" s="19" t="s">
        <v>16</v>
      </c>
      <c r="C90" s="19" t="s">
        <v>16</v>
      </c>
      <c r="D90" s="19" t="s">
        <v>39</v>
      </c>
      <c r="E90" s="25">
        <v>79500</v>
      </c>
      <c r="F90" s="25"/>
      <c r="G90" s="26" t="str">
        <f t="shared" si="6"/>
        <v/>
      </c>
      <c r="H90" s="28" t="str">
        <f t="shared" si="7"/>
        <v/>
      </c>
      <c r="I90" s="20" t="str">
        <f t="shared" si="8"/>
        <v>Pending</v>
      </c>
      <c r="J90" s="19" t="s">
        <v>46</v>
      </c>
    </row>
    <row r="91" spans="1:10">
      <c r="A91" s="22">
        <v>46327</v>
      </c>
      <c r="B91" s="19" t="s">
        <v>18</v>
      </c>
      <c r="C91" s="19" t="s">
        <v>18</v>
      </c>
      <c r="D91" s="19" t="s">
        <v>41</v>
      </c>
      <c r="E91" s="25">
        <v>47700</v>
      </c>
      <c r="F91" s="25"/>
      <c r="G91" s="26" t="str">
        <f t="shared" si="6"/>
        <v/>
      </c>
      <c r="H91" s="28" t="str">
        <f t="shared" si="7"/>
        <v/>
      </c>
      <c r="I91" s="20" t="str">
        <f t="shared" si="8"/>
        <v>Pending</v>
      </c>
      <c r="J91" s="19" t="s">
        <v>46</v>
      </c>
    </row>
    <row r="92" spans="1:10">
      <c r="A92" s="22">
        <v>46327</v>
      </c>
      <c r="B92" s="19" t="s">
        <v>42</v>
      </c>
      <c r="C92" s="19" t="s">
        <v>20</v>
      </c>
      <c r="D92" s="19" t="s">
        <v>43</v>
      </c>
      <c r="E92" s="25">
        <v>19080</v>
      </c>
      <c r="F92" s="25"/>
      <c r="G92" s="26" t="str">
        <f t="shared" si="6"/>
        <v/>
      </c>
      <c r="H92" s="28" t="str">
        <f t="shared" si="7"/>
        <v/>
      </c>
      <c r="I92" s="20" t="str">
        <f t="shared" si="8"/>
        <v>Pending</v>
      </c>
      <c r="J92" s="19" t="s">
        <v>46</v>
      </c>
    </row>
    <row r="93" spans="1:10">
      <c r="A93" s="22">
        <v>46327</v>
      </c>
      <c r="B93" s="19" t="s">
        <v>44</v>
      </c>
      <c r="C93" s="19" t="s">
        <v>21</v>
      </c>
      <c r="D93" s="19" t="s">
        <v>45</v>
      </c>
      <c r="E93" s="25">
        <v>37100</v>
      </c>
      <c r="F93" s="25"/>
      <c r="G93" s="26" t="str">
        <f t="shared" si="6"/>
        <v/>
      </c>
      <c r="H93" s="28" t="str">
        <f t="shared" si="7"/>
        <v/>
      </c>
      <c r="I93" s="20" t="str">
        <f t="shared" si="8"/>
        <v>Pending</v>
      </c>
      <c r="J93" s="19" t="s">
        <v>46</v>
      </c>
    </row>
    <row r="94" spans="1:10">
      <c r="A94" s="22">
        <v>46327</v>
      </c>
      <c r="B94" s="19" t="s">
        <v>37</v>
      </c>
      <c r="C94" s="19" t="s">
        <v>22</v>
      </c>
      <c r="D94" s="19" t="s">
        <v>38</v>
      </c>
      <c r="E94" s="25">
        <v>15900</v>
      </c>
      <c r="F94" s="25"/>
      <c r="G94" s="26" t="str">
        <f t="shared" si="6"/>
        <v/>
      </c>
      <c r="H94" s="28" t="str">
        <f t="shared" si="7"/>
        <v/>
      </c>
      <c r="I94" s="20" t="str">
        <f t="shared" si="8"/>
        <v>Pending</v>
      </c>
      <c r="J94" s="19" t="s">
        <v>46</v>
      </c>
    </row>
    <row r="95" spans="1:10">
      <c r="A95" s="22">
        <v>46327</v>
      </c>
      <c r="B95" s="19" t="s">
        <v>44</v>
      </c>
      <c r="C95" s="19" t="s">
        <v>23</v>
      </c>
      <c r="D95" s="19" t="s">
        <v>45</v>
      </c>
      <c r="E95" s="25">
        <v>10600</v>
      </c>
      <c r="F95" s="25"/>
      <c r="G95" s="26" t="str">
        <f t="shared" si="6"/>
        <v/>
      </c>
      <c r="H95" s="28" t="str">
        <f t="shared" si="7"/>
        <v/>
      </c>
      <c r="I95" s="20" t="str">
        <f t="shared" si="8"/>
        <v>Pending</v>
      </c>
      <c r="J95" s="19" t="s">
        <v>46</v>
      </c>
    </row>
    <row r="96" spans="1:10">
      <c r="A96" s="22">
        <v>46357</v>
      </c>
      <c r="B96" s="19" t="s">
        <v>34</v>
      </c>
      <c r="C96" s="19" t="s">
        <v>12</v>
      </c>
      <c r="D96" s="19" t="s">
        <v>35</v>
      </c>
      <c r="E96" s="25">
        <v>224000</v>
      </c>
      <c r="F96" s="25"/>
      <c r="G96" s="26" t="str">
        <f t="shared" si="6"/>
        <v/>
      </c>
      <c r="H96" s="28" t="str">
        <f t="shared" si="7"/>
        <v/>
      </c>
      <c r="I96" s="20" t="str">
        <f t="shared" si="8"/>
        <v>Pending</v>
      </c>
      <c r="J96" s="19" t="s">
        <v>46</v>
      </c>
    </row>
    <row r="97" spans="1:10">
      <c r="A97" s="22">
        <v>46357</v>
      </c>
      <c r="B97" s="19" t="s">
        <v>37</v>
      </c>
      <c r="C97" s="19" t="s">
        <v>14</v>
      </c>
      <c r="D97" s="19" t="s">
        <v>38</v>
      </c>
      <c r="E97" s="25">
        <v>67200</v>
      </c>
      <c r="F97" s="25"/>
      <c r="G97" s="26" t="str">
        <f t="shared" si="6"/>
        <v/>
      </c>
      <c r="H97" s="28" t="str">
        <f t="shared" si="7"/>
        <v/>
      </c>
      <c r="I97" s="20" t="str">
        <f t="shared" si="8"/>
        <v>Pending</v>
      </c>
      <c r="J97" s="19" t="s">
        <v>46</v>
      </c>
    </row>
    <row r="98" spans="1:10">
      <c r="A98" s="22">
        <v>46357</v>
      </c>
      <c r="B98" s="19" t="s">
        <v>16</v>
      </c>
      <c r="C98" s="19" t="s">
        <v>16</v>
      </c>
      <c r="D98" s="19" t="s">
        <v>39</v>
      </c>
      <c r="E98" s="25">
        <v>84000</v>
      </c>
      <c r="F98" s="25"/>
      <c r="G98" s="26" t="str">
        <f t="shared" si="6"/>
        <v/>
      </c>
      <c r="H98" s="28" t="str">
        <f t="shared" si="7"/>
        <v/>
      </c>
      <c r="I98" s="20" t="str">
        <f t="shared" si="8"/>
        <v>Pending</v>
      </c>
      <c r="J98" s="19" t="s">
        <v>46</v>
      </c>
    </row>
    <row r="99" spans="1:10">
      <c r="A99" s="22">
        <v>46357</v>
      </c>
      <c r="B99" s="19" t="s">
        <v>18</v>
      </c>
      <c r="C99" s="19" t="s">
        <v>18</v>
      </c>
      <c r="D99" s="19" t="s">
        <v>41</v>
      </c>
      <c r="E99" s="25">
        <v>50400</v>
      </c>
      <c r="F99" s="25"/>
      <c r="G99" s="26" t="str">
        <f t="shared" si="6"/>
        <v/>
      </c>
      <c r="H99" s="28" t="str">
        <f t="shared" si="7"/>
        <v/>
      </c>
      <c r="I99" s="20" t="str">
        <f t="shared" si="8"/>
        <v>Pending</v>
      </c>
      <c r="J99" s="19" t="s">
        <v>46</v>
      </c>
    </row>
    <row r="100" spans="1:10">
      <c r="A100" s="22">
        <v>46357</v>
      </c>
      <c r="B100" s="19" t="s">
        <v>42</v>
      </c>
      <c r="C100" s="19" t="s">
        <v>20</v>
      </c>
      <c r="D100" s="19" t="s">
        <v>43</v>
      </c>
      <c r="E100" s="25">
        <v>20160</v>
      </c>
      <c r="F100" s="25"/>
      <c r="G100" s="26" t="str">
        <f t="shared" si="6"/>
        <v/>
      </c>
      <c r="H100" s="28" t="str">
        <f t="shared" si="7"/>
        <v/>
      </c>
      <c r="I100" s="20" t="str">
        <f t="shared" si="8"/>
        <v>Pending</v>
      </c>
      <c r="J100" s="19" t="s">
        <v>46</v>
      </c>
    </row>
    <row r="101" spans="1:10">
      <c r="A101" s="22">
        <v>46357</v>
      </c>
      <c r="B101" s="19" t="s">
        <v>44</v>
      </c>
      <c r="C101" s="19" t="s">
        <v>21</v>
      </c>
      <c r="D101" s="19" t="s">
        <v>45</v>
      </c>
      <c r="E101" s="25">
        <v>39200</v>
      </c>
      <c r="F101" s="25"/>
      <c r="G101" s="26" t="str">
        <f t="shared" si="6"/>
        <v/>
      </c>
      <c r="H101" s="28" t="str">
        <f t="shared" si="7"/>
        <v/>
      </c>
      <c r="I101" s="20" t="str">
        <f t="shared" si="8"/>
        <v>Pending</v>
      </c>
      <c r="J101" s="19" t="s">
        <v>46</v>
      </c>
    </row>
    <row r="102" spans="1:10">
      <c r="A102" s="22">
        <v>46357</v>
      </c>
      <c r="B102" s="19" t="s">
        <v>37</v>
      </c>
      <c r="C102" s="19" t="s">
        <v>22</v>
      </c>
      <c r="D102" s="19" t="s">
        <v>38</v>
      </c>
      <c r="E102" s="25">
        <v>16800</v>
      </c>
      <c r="F102" s="25"/>
      <c r="G102" s="26" t="str">
        <f t="shared" si="6"/>
        <v/>
      </c>
      <c r="H102" s="28" t="str">
        <f t="shared" si="7"/>
        <v/>
      </c>
      <c r="I102" s="20" t="str">
        <f t="shared" si="8"/>
        <v>Pending</v>
      </c>
      <c r="J102" s="19" t="s">
        <v>46</v>
      </c>
    </row>
    <row r="103" spans="1:10">
      <c r="A103" s="22">
        <v>46357</v>
      </c>
      <c r="B103" s="19" t="s">
        <v>44</v>
      </c>
      <c r="C103" s="19" t="s">
        <v>23</v>
      </c>
      <c r="D103" s="19" t="s">
        <v>45</v>
      </c>
      <c r="E103" s="25">
        <v>11200</v>
      </c>
      <c r="F103" s="25"/>
      <c r="G103" s="26" t="str">
        <f t="shared" si="6"/>
        <v/>
      </c>
      <c r="H103" s="28" t="str">
        <f t="shared" si="7"/>
        <v/>
      </c>
      <c r="I103" s="20" t="str">
        <f t="shared" si="8"/>
        <v>Pending</v>
      </c>
      <c r="J103" s="19" t="s">
        <v>46</v>
      </c>
    </row>
    <row r="104" spans="1:10">
      <c r="A104" s="22"/>
      <c r="B104" s="19"/>
      <c r="C104" s="19"/>
      <c r="D104" s="19"/>
      <c r="E104" s="25"/>
      <c r="F104" s="25"/>
      <c r="G104" s="26" t="str">
        <f t="shared" ref="G104:G135" si="9">IF(OR(E104="",F104=""),"",E104-F104)</f>
        <v/>
      </c>
      <c r="H104" s="28" t="str">
        <f t="shared" ref="H104:H135" si="10">IFERROR(G104/E104,"")</f>
        <v/>
      </c>
      <c r="I104" s="20" t="str">
        <f t="shared" ref="I104:I127" si="11">IF(A104="","",IF(F104="","Pending",IF(G104&lt;0,"Over Budget","On / Under Budget")))</f>
        <v/>
      </c>
      <c r="J104" s="19"/>
    </row>
    <row r="105" spans="1:10">
      <c r="A105" s="22"/>
      <c r="B105" s="19"/>
      <c r="C105" s="19"/>
      <c r="D105" s="19"/>
      <c r="E105" s="25"/>
      <c r="F105" s="25"/>
      <c r="G105" s="26" t="str">
        <f t="shared" si="9"/>
        <v/>
      </c>
      <c r="H105" s="28" t="str">
        <f t="shared" si="10"/>
        <v/>
      </c>
      <c r="I105" s="20" t="str">
        <f t="shared" si="11"/>
        <v/>
      </c>
      <c r="J105" s="19"/>
    </row>
    <row r="106" spans="1:10">
      <c r="A106" s="22"/>
      <c r="B106" s="19"/>
      <c r="C106" s="19"/>
      <c r="D106" s="19"/>
      <c r="E106" s="25"/>
      <c r="F106" s="25"/>
      <c r="G106" s="26" t="str">
        <f t="shared" si="9"/>
        <v/>
      </c>
      <c r="H106" s="28" t="str">
        <f t="shared" si="10"/>
        <v/>
      </c>
      <c r="I106" s="20" t="str">
        <f t="shared" si="11"/>
        <v/>
      </c>
      <c r="J106" s="19"/>
    </row>
    <row r="107" spans="1:10">
      <c r="A107" s="22"/>
      <c r="B107" s="19"/>
      <c r="C107" s="19"/>
      <c r="D107" s="19"/>
      <c r="E107" s="25"/>
      <c r="F107" s="25"/>
      <c r="G107" s="26" t="str">
        <f t="shared" si="9"/>
        <v/>
      </c>
      <c r="H107" s="28" t="str">
        <f t="shared" si="10"/>
        <v/>
      </c>
      <c r="I107" s="20" t="str">
        <f t="shared" si="11"/>
        <v/>
      </c>
      <c r="J107" s="19"/>
    </row>
    <row r="108" spans="1:10">
      <c r="A108" s="22"/>
      <c r="B108" s="19"/>
      <c r="C108" s="19"/>
      <c r="D108" s="19"/>
      <c r="E108" s="25"/>
      <c r="F108" s="25"/>
      <c r="G108" s="26" t="str">
        <f t="shared" si="9"/>
        <v/>
      </c>
      <c r="H108" s="28" t="str">
        <f t="shared" si="10"/>
        <v/>
      </c>
      <c r="I108" s="20" t="str">
        <f t="shared" si="11"/>
        <v/>
      </c>
      <c r="J108" s="19"/>
    </row>
    <row r="109" spans="1:10">
      <c r="A109" s="22"/>
      <c r="B109" s="19"/>
      <c r="C109" s="19"/>
      <c r="D109" s="19"/>
      <c r="E109" s="25"/>
      <c r="F109" s="25"/>
      <c r="G109" s="26" t="str">
        <f t="shared" si="9"/>
        <v/>
      </c>
      <c r="H109" s="28" t="str">
        <f t="shared" si="10"/>
        <v/>
      </c>
      <c r="I109" s="20" t="str">
        <f t="shared" si="11"/>
        <v/>
      </c>
      <c r="J109" s="19"/>
    </row>
    <row r="110" spans="1:10">
      <c r="A110" s="22"/>
      <c r="B110" s="19"/>
      <c r="C110" s="19"/>
      <c r="D110" s="19"/>
      <c r="E110" s="25"/>
      <c r="F110" s="25"/>
      <c r="G110" s="26" t="str">
        <f t="shared" si="9"/>
        <v/>
      </c>
      <c r="H110" s="28" t="str">
        <f t="shared" si="10"/>
        <v/>
      </c>
      <c r="I110" s="20" t="str">
        <f t="shared" si="11"/>
        <v/>
      </c>
      <c r="J110" s="19"/>
    </row>
    <row r="111" spans="1:10">
      <c r="A111" s="22"/>
      <c r="B111" s="19"/>
      <c r="C111" s="19"/>
      <c r="D111" s="19"/>
      <c r="E111" s="25"/>
      <c r="F111" s="25"/>
      <c r="G111" s="26" t="str">
        <f t="shared" si="9"/>
        <v/>
      </c>
      <c r="H111" s="28" t="str">
        <f t="shared" si="10"/>
        <v/>
      </c>
      <c r="I111" s="20" t="str">
        <f t="shared" si="11"/>
        <v/>
      </c>
      <c r="J111" s="19"/>
    </row>
    <row r="112" spans="1:10">
      <c r="A112" s="22"/>
      <c r="B112" s="19"/>
      <c r="C112" s="19"/>
      <c r="D112" s="19"/>
      <c r="E112" s="25"/>
      <c r="F112" s="25"/>
      <c r="G112" s="26" t="str">
        <f t="shared" si="9"/>
        <v/>
      </c>
      <c r="H112" s="28" t="str">
        <f t="shared" si="10"/>
        <v/>
      </c>
      <c r="I112" s="20" t="str">
        <f t="shared" si="11"/>
        <v/>
      </c>
      <c r="J112" s="19"/>
    </row>
    <row r="113" spans="1:10">
      <c r="A113" s="22"/>
      <c r="B113" s="19"/>
      <c r="C113" s="19"/>
      <c r="D113" s="19"/>
      <c r="E113" s="25"/>
      <c r="F113" s="25"/>
      <c r="G113" s="26" t="str">
        <f t="shared" si="9"/>
        <v/>
      </c>
      <c r="H113" s="28" t="str">
        <f t="shared" si="10"/>
        <v/>
      </c>
      <c r="I113" s="20" t="str">
        <f t="shared" si="11"/>
        <v/>
      </c>
      <c r="J113" s="19"/>
    </row>
    <row r="114" spans="1:10">
      <c r="A114" s="22"/>
      <c r="B114" s="19"/>
      <c r="C114" s="19"/>
      <c r="D114" s="19"/>
      <c r="E114" s="25"/>
      <c r="F114" s="25"/>
      <c r="G114" s="26" t="str">
        <f t="shared" si="9"/>
        <v/>
      </c>
      <c r="H114" s="28" t="str">
        <f t="shared" si="10"/>
        <v/>
      </c>
      <c r="I114" s="20" t="str">
        <f t="shared" si="11"/>
        <v/>
      </c>
      <c r="J114" s="19"/>
    </row>
    <row r="115" spans="1:10">
      <c r="A115" s="22"/>
      <c r="B115" s="19"/>
      <c r="C115" s="19"/>
      <c r="D115" s="19"/>
      <c r="E115" s="25"/>
      <c r="F115" s="25"/>
      <c r="G115" s="26" t="str">
        <f t="shared" si="9"/>
        <v/>
      </c>
      <c r="H115" s="28" t="str">
        <f t="shared" si="10"/>
        <v/>
      </c>
      <c r="I115" s="20" t="str">
        <f t="shared" si="11"/>
        <v/>
      </c>
      <c r="J115" s="19"/>
    </row>
    <row r="116" spans="1:10">
      <c r="A116" s="22"/>
      <c r="B116" s="19"/>
      <c r="C116" s="19"/>
      <c r="D116" s="19"/>
      <c r="E116" s="25"/>
      <c r="F116" s="25"/>
      <c r="G116" s="26" t="str">
        <f t="shared" si="9"/>
        <v/>
      </c>
      <c r="H116" s="28" t="str">
        <f t="shared" si="10"/>
        <v/>
      </c>
      <c r="I116" s="20" t="str">
        <f t="shared" si="11"/>
        <v/>
      </c>
      <c r="J116" s="19"/>
    </row>
    <row r="117" spans="1:10">
      <c r="A117" s="22"/>
      <c r="B117" s="19"/>
      <c r="C117" s="19"/>
      <c r="D117" s="19"/>
      <c r="E117" s="25"/>
      <c r="F117" s="25"/>
      <c r="G117" s="26" t="str">
        <f t="shared" si="9"/>
        <v/>
      </c>
      <c r="H117" s="28" t="str">
        <f t="shared" si="10"/>
        <v/>
      </c>
      <c r="I117" s="20" t="str">
        <f t="shared" si="11"/>
        <v/>
      </c>
      <c r="J117" s="19"/>
    </row>
    <row r="118" spans="1:10">
      <c r="A118" s="22"/>
      <c r="B118" s="19"/>
      <c r="C118" s="19"/>
      <c r="D118" s="19"/>
      <c r="E118" s="25"/>
      <c r="F118" s="25"/>
      <c r="G118" s="26" t="str">
        <f t="shared" si="9"/>
        <v/>
      </c>
      <c r="H118" s="28" t="str">
        <f t="shared" si="10"/>
        <v/>
      </c>
      <c r="I118" s="20" t="str">
        <f t="shared" si="11"/>
        <v/>
      </c>
      <c r="J118" s="19"/>
    </row>
    <row r="119" spans="1:10">
      <c r="A119" s="22"/>
      <c r="B119" s="19"/>
      <c r="C119" s="19"/>
      <c r="D119" s="19"/>
      <c r="E119" s="25"/>
      <c r="F119" s="25"/>
      <c r="G119" s="26" t="str">
        <f t="shared" si="9"/>
        <v/>
      </c>
      <c r="H119" s="28" t="str">
        <f t="shared" si="10"/>
        <v/>
      </c>
      <c r="I119" s="20" t="str">
        <f t="shared" si="11"/>
        <v/>
      </c>
      <c r="J119" s="19"/>
    </row>
    <row r="120" spans="1:10">
      <c r="A120" s="22"/>
      <c r="B120" s="19"/>
      <c r="C120" s="19"/>
      <c r="D120" s="19"/>
      <c r="E120" s="25"/>
      <c r="F120" s="25"/>
      <c r="G120" s="26" t="str">
        <f t="shared" si="9"/>
        <v/>
      </c>
      <c r="H120" s="28" t="str">
        <f t="shared" si="10"/>
        <v/>
      </c>
      <c r="I120" s="20" t="str">
        <f t="shared" si="11"/>
        <v/>
      </c>
      <c r="J120" s="19"/>
    </row>
    <row r="121" spans="1:10">
      <c r="A121" s="22"/>
      <c r="B121" s="19"/>
      <c r="C121" s="19"/>
      <c r="D121" s="19"/>
      <c r="E121" s="25"/>
      <c r="F121" s="25"/>
      <c r="G121" s="26" t="str">
        <f t="shared" si="9"/>
        <v/>
      </c>
      <c r="H121" s="28" t="str">
        <f t="shared" si="10"/>
        <v/>
      </c>
      <c r="I121" s="20" t="str">
        <f t="shared" si="11"/>
        <v/>
      </c>
      <c r="J121" s="19"/>
    </row>
    <row r="122" spans="1:10">
      <c r="A122" s="22"/>
      <c r="B122" s="19"/>
      <c r="C122" s="19"/>
      <c r="D122" s="19"/>
      <c r="E122" s="25"/>
      <c r="F122" s="25"/>
      <c r="G122" s="26" t="str">
        <f t="shared" si="9"/>
        <v/>
      </c>
      <c r="H122" s="28" t="str">
        <f t="shared" si="10"/>
        <v/>
      </c>
      <c r="I122" s="20" t="str">
        <f t="shared" si="11"/>
        <v/>
      </c>
      <c r="J122" s="19"/>
    </row>
    <row r="123" spans="1:10">
      <c r="A123" s="22"/>
      <c r="B123" s="19"/>
      <c r="C123" s="19"/>
      <c r="D123" s="19"/>
      <c r="E123" s="25"/>
      <c r="F123" s="25"/>
      <c r="G123" s="26" t="str">
        <f t="shared" si="9"/>
        <v/>
      </c>
      <c r="H123" s="28" t="str">
        <f t="shared" si="10"/>
        <v/>
      </c>
      <c r="I123" s="20" t="str">
        <f t="shared" si="11"/>
        <v/>
      </c>
      <c r="J123" s="19"/>
    </row>
    <row r="124" spans="1:10">
      <c r="A124" s="22"/>
      <c r="B124" s="19"/>
      <c r="C124" s="19"/>
      <c r="D124" s="19"/>
      <c r="E124" s="25"/>
      <c r="F124" s="25"/>
      <c r="G124" s="26" t="str">
        <f t="shared" si="9"/>
        <v/>
      </c>
      <c r="H124" s="28" t="str">
        <f t="shared" si="10"/>
        <v/>
      </c>
      <c r="I124" s="20" t="str">
        <f t="shared" si="11"/>
        <v/>
      </c>
      <c r="J124" s="19"/>
    </row>
    <row r="125" spans="1:10">
      <c r="A125" s="22"/>
      <c r="B125" s="19"/>
      <c r="C125" s="19"/>
      <c r="D125" s="19"/>
      <c r="E125" s="25"/>
      <c r="F125" s="25"/>
      <c r="G125" s="26" t="str">
        <f t="shared" si="9"/>
        <v/>
      </c>
      <c r="H125" s="28" t="str">
        <f t="shared" si="10"/>
        <v/>
      </c>
      <c r="I125" s="20" t="str">
        <f t="shared" si="11"/>
        <v/>
      </c>
      <c r="J125" s="19"/>
    </row>
    <row r="126" spans="1:10">
      <c r="A126" s="22"/>
      <c r="B126" s="19"/>
      <c r="C126" s="19"/>
      <c r="D126" s="19"/>
      <c r="E126" s="25"/>
      <c r="F126" s="25"/>
      <c r="G126" s="26" t="str">
        <f t="shared" si="9"/>
        <v/>
      </c>
      <c r="H126" s="28" t="str">
        <f t="shared" si="10"/>
        <v/>
      </c>
      <c r="I126" s="20" t="str">
        <f t="shared" si="11"/>
        <v/>
      </c>
      <c r="J126" s="19"/>
    </row>
    <row r="127" spans="1:10">
      <c r="A127" s="22"/>
      <c r="B127" s="19"/>
      <c r="C127" s="19"/>
      <c r="D127" s="19"/>
      <c r="E127" s="25"/>
      <c r="F127" s="25"/>
      <c r="G127" s="26" t="str">
        <f t="shared" si="9"/>
        <v/>
      </c>
      <c r="H127" s="28" t="str">
        <f t="shared" si="10"/>
        <v/>
      </c>
      <c r="I127" s="20" t="str">
        <f t="shared" si="11"/>
        <v/>
      </c>
      <c r="J127" s="19"/>
    </row>
  </sheetData>
  <mergeCells count="3">
    <mergeCell ref="A1:J2"/>
    <mergeCell ref="A3:J3"/>
    <mergeCell ref="A5:J5"/>
  </mergeCells>
  <conditionalFormatting sqref="G8:G127">
    <cfRule type="cellIs" dxfId="9" priority="1" operator="lessThan">
      <formula>0</formula>
    </cfRule>
    <cfRule type="cellIs" dxfId="8" priority="2" operator="greaterThanOrEqual">
      <formula>0</formula>
    </cfRule>
  </conditionalFormatting>
  <conditionalFormatting sqref="I8:I127">
    <cfRule type="containsText" dxfId="7" priority="3" operator="containsText" text="Over Budget"/>
    <cfRule type="containsText" dxfId="6" priority="4" operator="containsText" text="Pending"/>
  </conditionalFormatting>
  <dataValidations count="2">
    <dataValidation type="list" sqref="B8:B127" xr:uid="{00000000-0002-0000-0100-000000000000}">
      <formula1>"People,Operations,Marketing,Technology,Sales,G&amp;A"</formula1>
    </dataValidation>
    <dataValidation type="list" sqref="C8:C127" xr:uid="{00000000-0002-0000-0100-000001000000}">
      <formula1>"Payroll,Occupancy,Marketing,Technology,Travel,Professional Fees,Office &amp; Admin,Other"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workbookViewId="0">
      <selection sqref="A1:H2"/>
    </sheetView>
  </sheetViews>
  <sheetFormatPr defaultRowHeight="14.25"/>
  <cols>
    <col min="1" max="1" width="25" customWidth="1"/>
    <col min="2" max="2" width="38" customWidth="1"/>
    <col min="3" max="4" width="18" customWidth="1"/>
    <col min="6" max="7" width="22" customWidth="1"/>
  </cols>
  <sheetData>
    <row r="1" spans="1:8" ht="24.95" customHeight="1">
      <c r="A1" s="108" t="s">
        <v>47</v>
      </c>
      <c r="B1" s="108" t="s">
        <v>47</v>
      </c>
      <c r="C1" s="108" t="s">
        <v>47</v>
      </c>
      <c r="D1" s="108" t="s">
        <v>47</v>
      </c>
      <c r="E1" s="108" t="s">
        <v>47</v>
      </c>
      <c r="F1" s="108" t="s">
        <v>47</v>
      </c>
      <c r="G1" s="108" t="s">
        <v>47</v>
      </c>
      <c r="H1" s="108" t="s">
        <v>47</v>
      </c>
    </row>
    <row r="2" spans="1:8" ht="24.95" customHeight="1">
      <c r="A2" s="108" t="s">
        <v>47</v>
      </c>
      <c r="B2" s="108" t="s">
        <v>47</v>
      </c>
      <c r="C2" s="108" t="s">
        <v>47</v>
      </c>
      <c r="D2" s="108" t="s">
        <v>47</v>
      </c>
      <c r="E2" s="108" t="s">
        <v>47</v>
      </c>
      <c r="F2" s="108" t="s">
        <v>47</v>
      </c>
      <c r="G2" s="108" t="s">
        <v>47</v>
      </c>
      <c r="H2" s="108" t="s">
        <v>47</v>
      </c>
    </row>
    <row r="3" spans="1:8" ht="15">
      <c r="A3" s="3" t="s">
        <v>48</v>
      </c>
      <c r="B3" s="4" t="s">
        <v>49</v>
      </c>
      <c r="F3" s="93" t="s">
        <v>50</v>
      </c>
      <c r="G3" s="93" t="s">
        <v>50</v>
      </c>
      <c r="H3" s="93" t="s">
        <v>50</v>
      </c>
    </row>
    <row r="4" spans="1:8" ht="15">
      <c r="A4" s="5" t="s">
        <v>51</v>
      </c>
      <c r="B4" s="6" t="s">
        <v>52</v>
      </c>
      <c r="F4" s="2" t="s">
        <v>53</v>
      </c>
      <c r="G4" s="10" t="s">
        <v>54</v>
      </c>
    </row>
    <row r="5" spans="1:8" ht="15">
      <c r="A5" s="5" t="s">
        <v>55</v>
      </c>
      <c r="B5" s="7">
        <v>46023</v>
      </c>
      <c r="F5" s="11" t="s">
        <v>34</v>
      </c>
      <c r="G5" s="12" t="s">
        <v>12</v>
      </c>
    </row>
    <row r="6" spans="1:8" ht="15">
      <c r="A6" s="5" t="s">
        <v>56</v>
      </c>
      <c r="B6" s="7">
        <v>46234</v>
      </c>
      <c r="F6" s="11" t="s">
        <v>37</v>
      </c>
      <c r="G6" s="12" t="s">
        <v>14</v>
      </c>
    </row>
    <row r="7" spans="1:8" ht="15">
      <c r="A7" s="5" t="s">
        <v>57</v>
      </c>
      <c r="B7" s="6" t="s">
        <v>58</v>
      </c>
      <c r="F7" s="11" t="s">
        <v>16</v>
      </c>
      <c r="G7" s="12" t="s">
        <v>16</v>
      </c>
    </row>
    <row r="8" spans="1:8" ht="15">
      <c r="A8" s="5" t="s">
        <v>59</v>
      </c>
      <c r="B8" s="6" t="s">
        <v>60</v>
      </c>
      <c r="F8" s="11" t="s">
        <v>18</v>
      </c>
      <c r="G8" s="12" t="s">
        <v>18</v>
      </c>
    </row>
    <row r="9" spans="1:8" ht="29.25">
      <c r="A9" s="8" t="s">
        <v>61</v>
      </c>
      <c r="B9" s="9" t="s">
        <v>62</v>
      </c>
      <c r="F9" s="11" t="s">
        <v>42</v>
      </c>
      <c r="G9" s="12" t="s">
        <v>20</v>
      </c>
    </row>
    <row r="10" spans="1:8">
      <c r="F10" s="11" t="s">
        <v>44</v>
      </c>
      <c r="G10" s="12" t="s">
        <v>21</v>
      </c>
    </row>
    <row r="11" spans="1:8">
      <c r="F11" s="11"/>
      <c r="G11" s="12" t="s">
        <v>22</v>
      </c>
    </row>
    <row r="12" spans="1:8" ht="27.95" customHeight="1">
      <c r="A12" s="93" t="s">
        <v>63</v>
      </c>
      <c r="B12" s="93" t="s">
        <v>63</v>
      </c>
      <c r="C12" s="93" t="s">
        <v>63</v>
      </c>
      <c r="D12" s="93" t="s">
        <v>63</v>
      </c>
      <c r="F12" s="13"/>
      <c r="G12" s="14" t="s">
        <v>23</v>
      </c>
    </row>
    <row r="13" spans="1:8" ht="27.95" customHeight="1">
      <c r="A13" s="111" t="s">
        <v>64</v>
      </c>
      <c r="B13" s="112"/>
      <c r="C13" s="112"/>
      <c r="D13" s="113"/>
    </row>
    <row r="14" spans="1:8" ht="27.95" customHeight="1">
      <c r="A14" s="114" t="s">
        <v>65</v>
      </c>
      <c r="B14" s="115"/>
      <c r="C14" s="115"/>
      <c r="D14" s="116"/>
    </row>
    <row r="15" spans="1:8" ht="27.95" customHeight="1">
      <c r="A15" s="114" t="s">
        <v>66</v>
      </c>
      <c r="B15" s="115"/>
      <c r="C15" s="115"/>
      <c r="D15" s="116"/>
    </row>
    <row r="16" spans="1:8" ht="27.95" customHeight="1">
      <c r="A16" s="117" t="s">
        <v>67</v>
      </c>
      <c r="B16" s="118"/>
      <c r="C16" s="118"/>
      <c r="D16" s="119"/>
    </row>
  </sheetData>
  <mergeCells count="7">
    <mergeCell ref="A16:D16"/>
    <mergeCell ref="F3:H3"/>
    <mergeCell ref="A1:H2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>
      <selection sqref="A1:F2"/>
    </sheetView>
  </sheetViews>
  <sheetFormatPr defaultRowHeight="14.25"/>
  <cols>
    <col min="1" max="1" width="32" customWidth="1"/>
    <col min="2" max="4" width="14" customWidth="1"/>
    <col min="5" max="5" width="13" customWidth="1"/>
    <col min="6" max="6" width="45" customWidth="1"/>
  </cols>
  <sheetData>
    <row r="1" spans="1:6">
      <c r="A1" s="108" t="s">
        <v>68</v>
      </c>
      <c r="B1" s="108" t="s">
        <v>68</v>
      </c>
      <c r="C1" s="108" t="s">
        <v>68</v>
      </c>
      <c r="D1" s="108" t="s">
        <v>68</v>
      </c>
      <c r="E1" s="108" t="s">
        <v>68</v>
      </c>
      <c r="F1" s="108" t="s">
        <v>68</v>
      </c>
    </row>
    <row r="2" spans="1:6">
      <c r="A2" s="108" t="s">
        <v>68</v>
      </c>
      <c r="B2" s="108" t="s">
        <v>68</v>
      </c>
      <c r="C2" s="108" t="s">
        <v>68</v>
      </c>
      <c r="D2" s="108" t="s">
        <v>68</v>
      </c>
      <c r="E2" s="108" t="s">
        <v>68</v>
      </c>
      <c r="F2" s="108" t="s">
        <v>68</v>
      </c>
    </row>
    <row r="3" spans="1:6" ht="16.5">
      <c r="A3" s="1" t="s">
        <v>69</v>
      </c>
      <c r="B3" s="45" t="str">
        <f>IF(COUNTIF(E7:E10,"FAIL")+COUNTIF(E7:E10,"CHECK")=0,"PASS","REVIEW")</f>
        <v>PASS</v>
      </c>
    </row>
    <row r="5" spans="1:6" ht="27.95" customHeight="1">
      <c r="A5" s="15" t="s">
        <v>70</v>
      </c>
      <c r="B5" s="15" t="s">
        <v>71</v>
      </c>
      <c r="C5" s="15" t="s">
        <v>72</v>
      </c>
      <c r="D5" s="15" t="s">
        <v>73</v>
      </c>
      <c r="E5" s="15" t="s">
        <v>32</v>
      </c>
      <c r="F5" s="15" t="s">
        <v>74</v>
      </c>
    </row>
    <row r="7" spans="1:6" ht="30" customHeight="1">
      <c r="A7" s="52" t="s">
        <v>75</v>
      </c>
      <c r="B7" s="49">
        <f>COUNT('Data Entry'!$E$8:$E$127)</f>
        <v>96</v>
      </c>
      <c r="C7" s="49">
        <f>COUNT('Data Entry'!$A$8:$A$127)</f>
        <v>96</v>
      </c>
      <c r="D7" s="49">
        <f>B7-C7</f>
        <v>0</v>
      </c>
      <c r="E7" s="47" t="str">
        <f>IF(D7=0,"PASS","FAIL")</f>
        <v>PASS</v>
      </c>
      <c r="F7" s="55" t="s">
        <v>76</v>
      </c>
    </row>
    <row r="8" spans="1:6" ht="30" customHeight="1">
      <c r="A8" s="53" t="s">
        <v>77</v>
      </c>
      <c r="B8" s="50">
        <f>COUNTIFS('Data Entry'!$A$8:$A$127,"&lt;="&amp;Setup!$B$6,'Data Entry'!$F$8:$F$127,"&lt;&gt;")</f>
        <v>56</v>
      </c>
      <c r="C8" s="50">
        <f>COUNTIFS('Data Entry'!$A$8:$A$127,"&lt;&gt;",'Data Entry'!$A$8:$A$127,"&lt;="&amp;Setup!$B$6)</f>
        <v>56</v>
      </c>
      <c r="D8" s="50">
        <f>B8-C8</f>
        <v>0</v>
      </c>
      <c r="E8" s="44" t="str">
        <f>IF(D8=0,"PASS","CHECK")</f>
        <v>PASS</v>
      </c>
      <c r="F8" s="56" t="s">
        <v>78</v>
      </c>
    </row>
    <row r="9" spans="1:6" ht="30" customHeight="1">
      <c r="A9" s="53" t="s">
        <v>79</v>
      </c>
      <c r="B9" s="50">
        <f>COUNT('Data Entry'!$G$8:$G$127)</f>
        <v>56</v>
      </c>
      <c r="C9" s="50">
        <f>COUNTIFS('Data Entry'!$E$8:$E$127,"&gt;0",'Data Entry'!$F$8:$F$127,"&lt;&gt;")</f>
        <v>56</v>
      </c>
      <c r="D9" s="50">
        <f>B9-C9</f>
        <v>0</v>
      </c>
      <c r="E9" s="44" t="str">
        <f>IF(D9=0,"PASS","FAIL")</f>
        <v>PASS</v>
      </c>
      <c r="F9" s="56" t="s">
        <v>80</v>
      </c>
    </row>
    <row r="10" spans="1:6" ht="30" customHeight="1">
      <c r="A10" s="54" t="s">
        <v>81</v>
      </c>
      <c r="B10" s="51">
        <f>Dashboard!$A$6-Dashboard!$D$6</f>
        <v>-22323</v>
      </c>
      <c r="C10" s="51">
        <f>SUMIFS('Data Entry'!$E$8:$E$127,'Data Entry'!$A$8:$A$127,"&lt;="&amp;Setup!$B$6)-SUMIFS('Data Entry'!$F$8:$F$127,'Data Entry'!$A$8:$A$127,"&lt;="&amp;Setup!$B$6)</f>
        <v>-22323</v>
      </c>
      <c r="D10" s="51">
        <f>B10-C10</f>
        <v>0</v>
      </c>
      <c r="E10" s="48" t="str">
        <f>IF(ABS(D10)&lt;0.01,"PASS","FAIL")</f>
        <v>PASS</v>
      </c>
      <c r="F10" s="57" t="s">
        <v>82</v>
      </c>
    </row>
  </sheetData>
  <mergeCells count="1">
    <mergeCell ref="A1:F2"/>
  </mergeCells>
  <conditionalFormatting sqref="B3">
    <cfRule type="containsText" dxfId="5" priority="1" operator="containsText" text="PASS"/>
    <cfRule type="containsText" dxfId="4" priority="2" operator="containsText" text="FAIL"/>
    <cfRule type="containsText" dxfId="3" priority="3" operator="containsText" text="CHECK"/>
  </conditionalFormatting>
  <conditionalFormatting sqref="E7:E10">
    <cfRule type="containsText" dxfId="2" priority="5" operator="containsText" text="PASS"/>
    <cfRule type="containsText" dxfId="1" priority="6" operator="containsText" text="FAIL"/>
    <cfRule type="containsText" dxfId="0" priority="7" operator="containsText" text="CHECK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showGridLines="0" workbookViewId="0">
      <selection sqref="A1:H2"/>
    </sheetView>
  </sheetViews>
  <sheetFormatPr defaultRowHeight="14.25"/>
  <cols>
    <col min="1" max="1" width="24" customWidth="1"/>
    <col min="2" max="8" width="18" customWidth="1"/>
  </cols>
  <sheetData>
    <row r="1" spans="1:8" ht="24.95" customHeight="1">
      <c r="A1" s="108" t="s">
        <v>83</v>
      </c>
      <c r="B1" s="108" t="s">
        <v>83</v>
      </c>
      <c r="C1" s="108" t="s">
        <v>83</v>
      </c>
      <c r="D1" s="108" t="s">
        <v>83</v>
      </c>
      <c r="E1" s="108" t="s">
        <v>83</v>
      </c>
      <c r="F1" s="108" t="s">
        <v>83</v>
      </c>
      <c r="G1" s="108" t="s">
        <v>83</v>
      </c>
      <c r="H1" s="108" t="s">
        <v>83</v>
      </c>
    </row>
    <row r="2" spans="1:8" ht="24.95" customHeight="1">
      <c r="A2" s="108" t="s">
        <v>83</v>
      </c>
      <c r="B2" s="108" t="s">
        <v>83</v>
      </c>
      <c r="C2" s="108" t="s">
        <v>83</v>
      </c>
      <c r="D2" s="108" t="s">
        <v>83</v>
      </c>
      <c r="E2" s="108" t="s">
        <v>83</v>
      </c>
      <c r="F2" s="108" t="s">
        <v>83</v>
      </c>
      <c r="G2" s="108" t="s">
        <v>83</v>
      </c>
      <c r="H2" s="108" t="s">
        <v>83</v>
      </c>
    </row>
    <row r="4" spans="1:8" ht="15">
      <c r="A4" s="93" t="s">
        <v>84</v>
      </c>
      <c r="B4" s="93" t="s">
        <v>84</v>
      </c>
      <c r="C4" s="93" t="s">
        <v>84</v>
      </c>
      <c r="D4" s="93" t="s">
        <v>84</v>
      </c>
      <c r="E4" s="93" t="s">
        <v>84</v>
      </c>
      <c r="F4" s="93" t="s">
        <v>84</v>
      </c>
      <c r="G4" s="93" t="s">
        <v>84</v>
      </c>
      <c r="H4" s="93" t="s">
        <v>84</v>
      </c>
    </row>
    <row r="5" spans="1:8" ht="27.95" customHeight="1">
      <c r="A5" s="120" t="s">
        <v>85</v>
      </c>
      <c r="B5" s="63"/>
      <c r="C5" s="63"/>
      <c r="D5" s="63"/>
      <c r="E5" s="63"/>
      <c r="F5" s="63"/>
      <c r="G5" s="63"/>
      <c r="H5" s="63"/>
    </row>
    <row r="6" spans="1:8" ht="27.95" customHeight="1">
      <c r="A6" s="63"/>
      <c r="B6" s="63"/>
      <c r="C6" s="63"/>
      <c r="D6" s="63"/>
      <c r="E6" s="63"/>
      <c r="F6" s="63"/>
      <c r="G6" s="63"/>
      <c r="H6" s="63"/>
    </row>
    <row r="8" spans="1:8" ht="15">
      <c r="A8" s="93" t="s">
        <v>86</v>
      </c>
      <c r="B8" s="93" t="s">
        <v>86</v>
      </c>
      <c r="C8" s="93" t="s">
        <v>86</v>
      </c>
      <c r="D8" s="93" t="s">
        <v>86</v>
      </c>
      <c r="E8" s="93" t="s">
        <v>86</v>
      </c>
      <c r="F8" s="93" t="s">
        <v>86</v>
      </c>
      <c r="G8" s="93" t="s">
        <v>86</v>
      </c>
      <c r="H8" s="93" t="s">
        <v>86</v>
      </c>
    </row>
    <row r="9" spans="1:8" ht="26.1" customHeight="1">
      <c r="A9" s="58" t="s">
        <v>87</v>
      </c>
      <c r="B9" s="121" t="s">
        <v>88</v>
      </c>
      <c r="C9" s="121"/>
      <c r="D9" s="121"/>
      <c r="E9" s="121"/>
      <c r="F9" s="121"/>
      <c r="G9" s="121"/>
      <c r="H9" s="121"/>
    </row>
    <row r="10" spans="1:8" ht="26.1" customHeight="1">
      <c r="A10" s="58" t="s">
        <v>89</v>
      </c>
      <c r="B10" s="121" t="s">
        <v>90</v>
      </c>
      <c r="C10" s="121"/>
      <c r="D10" s="121"/>
      <c r="E10" s="121"/>
      <c r="F10" s="121"/>
      <c r="G10" s="121"/>
      <c r="H10" s="121"/>
    </row>
    <row r="11" spans="1:8" ht="26.1" customHeight="1">
      <c r="A11" s="58" t="s">
        <v>91</v>
      </c>
      <c r="B11" s="121" t="s">
        <v>92</v>
      </c>
      <c r="C11" s="121"/>
      <c r="D11" s="121"/>
      <c r="E11" s="121"/>
      <c r="F11" s="121"/>
      <c r="G11" s="121"/>
      <c r="H11" s="121"/>
    </row>
    <row r="12" spans="1:8" ht="26.1" customHeight="1">
      <c r="A12" s="58" t="s">
        <v>93</v>
      </c>
      <c r="B12" s="121" t="s">
        <v>94</v>
      </c>
      <c r="C12" s="121"/>
      <c r="D12" s="121"/>
      <c r="E12" s="121"/>
      <c r="F12" s="121"/>
      <c r="G12" s="121"/>
      <c r="H12" s="121"/>
    </row>
    <row r="14" spans="1:8" ht="15">
      <c r="A14" s="93" t="s">
        <v>95</v>
      </c>
      <c r="B14" s="93" t="s">
        <v>95</v>
      </c>
      <c r="C14" s="93" t="s">
        <v>95</v>
      </c>
      <c r="D14" s="93" t="s">
        <v>95</v>
      </c>
      <c r="E14" s="93" t="s">
        <v>95</v>
      </c>
      <c r="F14" s="93" t="s">
        <v>95</v>
      </c>
      <c r="G14" s="93" t="s">
        <v>95</v>
      </c>
      <c r="H14" s="93" t="s">
        <v>95</v>
      </c>
    </row>
    <row r="15" spans="1:8" ht="15">
      <c r="A15" s="59" t="s">
        <v>96</v>
      </c>
      <c r="B15" s="46" t="s">
        <v>97</v>
      </c>
    </row>
    <row r="16" spans="1:8" ht="15">
      <c r="A16" s="60" t="s">
        <v>98</v>
      </c>
      <c r="B16" s="12" t="s">
        <v>99</v>
      </c>
    </row>
    <row r="17" spans="1:8" ht="15">
      <c r="A17" s="61" t="s">
        <v>100</v>
      </c>
      <c r="B17" s="14" t="s">
        <v>101</v>
      </c>
    </row>
    <row r="19" spans="1:8" ht="15">
      <c r="A19" s="93" t="s">
        <v>102</v>
      </c>
      <c r="B19" s="93" t="s">
        <v>102</v>
      </c>
      <c r="C19" s="93" t="s">
        <v>102</v>
      </c>
      <c r="D19" s="93" t="s">
        <v>102</v>
      </c>
      <c r="E19" s="93" t="s">
        <v>102</v>
      </c>
      <c r="F19" s="93" t="s">
        <v>102</v>
      </c>
      <c r="G19" s="93" t="s">
        <v>102</v>
      </c>
      <c r="H19" s="93" t="s">
        <v>102</v>
      </c>
    </row>
    <row r="20" spans="1:8" ht="27.95" customHeight="1">
      <c r="A20" s="122" t="s">
        <v>103</v>
      </c>
      <c r="B20" s="63"/>
      <c r="C20" s="63"/>
      <c r="D20" s="63"/>
      <c r="E20" s="63"/>
      <c r="F20" s="63"/>
      <c r="G20" s="63"/>
      <c r="H20" s="63"/>
    </row>
    <row r="21" spans="1:8" ht="27.95" customHeight="1">
      <c r="A21" s="63"/>
      <c r="B21" s="63"/>
      <c r="C21" s="63"/>
      <c r="D21" s="63"/>
      <c r="E21" s="63"/>
      <c r="F21" s="63"/>
      <c r="G21" s="63"/>
      <c r="H21" s="63"/>
    </row>
  </sheetData>
  <mergeCells count="11">
    <mergeCell ref="A20:H21"/>
    <mergeCell ref="B10:H10"/>
    <mergeCell ref="B11:H11"/>
    <mergeCell ref="B12:H12"/>
    <mergeCell ref="A14:H14"/>
    <mergeCell ref="A19:H19"/>
    <mergeCell ref="A1:H2"/>
    <mergeCell ref="A4:H4"/>
    <mergeCell ref="A5:H6"/>
    <mergeCell ref="A8:H8"/>
    <mergeCell ref="B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 Entry</vt:lpstr>
      <vt:lpstr>Setup</vt:lpstr>
      <vt:lpstr>Checks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THAKUR</cp:lastModifiedBy>
  <dcterms:modified xsi:type="dcterms:W3CDTF">2026-08-13T18:05:36Z</dcterms:modified>
</cp:coreProperties>
</file>