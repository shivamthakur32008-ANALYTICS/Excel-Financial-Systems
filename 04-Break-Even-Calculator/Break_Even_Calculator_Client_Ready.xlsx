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8ed3192b30c47d9/"/>
    </mc:Choice>
  </mc:AlternateContent>
  <xr:revisionPtr revIDLastSave="32" documentId="11_4FA5BE32B7DC076FF7FEAF7AA783D36837205C6B" xr6:coauthVersionLast="47" xr6:coauthVersionMax="47" xr10:uidLastSave="{9A5A0010-226B-4655-A812-796C37725171}"/>
  <bookViews>
    <workbookView xWindow="-120" yWindow="-120" windowWidth="29040" windowHeight="16440" tabRatio="906" activeTab="3" xr2:uid="{00000000-000D-0000-FFFF-FFFF00000000}"/>
  </bookViews>
  <sheets>
    <sheet name="Dashboard" sheetId="1" r:id="rId1"/>
    <sheet name="Inputs" sheetId="2" r:id="rId2"/>
    <sheet name="Scenarios" sheetId="3" r:id="rId3"/>
    <sheet name="Monthly Model" sheetId="4" r:id="rId4"/>
    <sheet name="Checks" sheetId="5" r:id="rId5"/>
    <sheet name="Guide &amp; 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3" l="1"/>
  <c r="E13" i="5"/>
  <c r="D13" i="5"/>
  <c r="B13" i="5"/>
  <c r="E11" i="5"/>
  <c r="D11" i="5"/>
  <c r="B11" i="5"/>
  <c r="C9" i="5"/>
  <c r="B7" i="5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B14" i="4"/>
  <c r="J12" i="4"/>
  <c r="M11" i="4"/>
  <c r="E11" i="4"/>
  <c r="M10" i="4"/>
  <c r="L10" i="4"/>
  <c r="K10" i="4"/>
  <c r="J10" i="4"/>
  <c r="I10" i="4"/>
  <c r="F10" i="4"/>
  <c r="E10" i="4"/>
  <c r="D10" i="4"/>
  <c r="C10" i="4"/>
  <c r="B10" i="4"/>
  <c r="M9" i="4"/>
  <c r="J9" i="4"/>
  <c r="J11" i="4" s="1"/>
  <c r="I9" i="4"/>
  <c r="I11" i="4" s="1"/>
  <c r="H9" i="4"/>
  <c r="H11" i="4" s="1"/>
  <c r="G9" i="4"/>
  <c r="F9" i="4"/>
  <c r="F11" i="4" s="1"/>
  <c r="E9" i="4"/>
  <c r="B9" i="4"/>
  <c r="B11" i="4" s="1"/>
  <c r="G7" i="4"/>
  <c r="F7" i="4"/>
  <c r="E7" i="4"/>
  <c r="L6" i="4"/>
  <c r="K6" i="4"/>
  <c r="J6" i="4"/>
  <c r="B4" i="4"/>
  <c r="C4" i="4" s="1"/>
  <c r="D4" i="4" s="1"/>
  <c r="E4" i="4" s="1"/>
  <c r="F4" i="4" s="1"/>
  <c r="G4" i="4" s="1"/>
  <c r="H4" i="4" s="1"/>
  <c r="I4" i="4" s="1"/>
  <c r="J4" i="4" s="1"/>
  <c r="K4" i="4" s="1"/>
  <c r="L4" i="4" s="1"/>
  <c r="M4" i="4" s="1"/>
  <c r="B20" i="3"/>
  <c r="D19" i="3"/>
  <c r="C19" i="3"/>
  <c r="B19" i="3"/>
  <c r="B22" i="3" s="1"/>
  <c r="B18" i="3"/>
  <c r="B21" i="3" s="1"/>
  <c r="D17" i="3"/>
  <c r="C17" i="3"/>
  <c r="C22" i="3" s="1"/>
  <c r="B45" i="1" s="1"/>
  <c r="B17" i="3"/>
  <c r="B19" i="2"/>
  <c r="B18" i="2"/>
  <c r="B17" i="2"/>
  <c r="B16" i="2"/>
  <c r="B15" i="2"/>
  <c r="B14" i="2"/>
  <c r="B13" i="2"/>
  <c r="B12" i="2"/>
  <c r="H10" i="4" s="1"/>
  <c r="B11" i="2"/>
  <c r="L9" i="4" s="1"/>
  <c r="L11" i="4" s="1"/>
  <c r="B44" i="1"/>
  <c r="B24" i="1"/>
  <c r="B23" i="1"/>
  <c r="B22" i="1"/>
  <c r="C21" i="1"/>
  <c r="B21" i="1"/>
  <c r="D20" i="1"/>
  <c r="C20" i="1"/>
  <c r="B20" i="1"/>
  <c r="B19" i="1"/>
  <c r="B18" i="1"/>
  <c r="G9" i="1"/>
  <c r="D9" i="1"/>
  <c r="E5" i="1"/>
  <c r="C5" i="1"/>
  <c r="A5" i="1"/>
  <c r="G11" i="4" l="1"/>
  <c r="B29" i="1"/>
  <c r="B24" i="3"/>
  <c r="D29" i="1" s="1"/>
  <c r="L21" i="4"/>
  <c r="L13" i="4"/>
  <c r="H14" i="4"/>
  <c r="D22" i="1"/>
  <c r="C19" i="1"/>
  <c r="G14" i="4"/>
  <c r="C22" i="1"/>
  <c r="D19" i="1"/>
  <c r="B8" i="5"/>
  <c r="F14" i="4"/>
  <c r="D24" i="1"/>
  <c r="M14" i="4"/>
  <c r="E14" i="4"/>
  <c r="C24" i="1"/>
  <c r="D21" i="1"/>
  <c r="B12" i="5"/>
  <c r="C20" i="3"/>
  <c r="C14" i="4"/>
  <c r="C18" i="1"/>
  <c r="C30" i="1"/>
  <c r="H6" i="4"/>
  <c r="F6" i="4"/>
  <c r="G6" i="4"/>
  <c r="M6" i="4"/>
  <c r="E6" i="4"/>
  <c r="D18" i="3"/>
  <c r="D21" i="3" s="1"/>
  <c r="D20" i="3"/>
  <c r="B26" i="3"/>
  <c r="E29" i="1" s="1"/>
  <c r="B6" i="4"/>
  <c r="L12" i="4"/>
  <c r="D14" i="4"/>
  <c r="D18" i="1"/>
  <c r="C6" i="4"/>
  <c r="I14" i="4"/>
  <c r="C23" i="1"/>
  <c r="L7" i="4"/>
  <c r="D7" i="4"/>
  <c r="C10" i="5"/>
  <c r="K7" i="4"/>
  <c r="K8" i="4" s="1"/>
  <c r="C7" i="4"/>
  <c r="J7" i="4"/>
  <c r="J8" i="4" s="1"/>
  <c r="B7" i="4"/>
  <c r="I7" i="4"/>
  <c r="C18" i="3"/>
  <c r="C21" i="3" s="1"/>
  <c r="D22" i="3"/>
  <c r="D6" i="4"/>
  <c r="H7" i="4"/>
  <c r="L8" i="4"/>
  <c r="J14" i="4"/>
  <c r="J15" i="4" s="1"/>
  <c r="J18" i="4" s="1"/>
  <c r="A9" i="1"/>
  <c r="D23" i="1"/>
  <c r="B25" i="3"/>
  <c r="C29" i="1"/>
  <c r="B23" i="3"/>
  <c r="I6" i="4"/>
  <c r="M7" i="4"/>
  <c r="K14" i="4"/>
  <c r="E7" i="5"/>
  <c r="D7" i="5"/>
  <c r="K13" i="4"/>
  <c r="J13" i="4"/>
  <c r="J21" i="4"/>
  <c r="L14" i="4"/>
  <c r="B9" i="5"/>
  <c r="E9" i="5" s="1"/>
  <c r="C9" i="4"/>
  <c r="C11" i="4" s="1"/>
  <c r="K9" i="4"/>
  <c r="K11" i="4" s="1"/>
  <c r="G10" i="4"/>
  <c r="D9" i="4"/>
  <c r="D11" i="4" s="1"/>
  <c r="I21" i="4" l="1"/>
  <c r="I13" i="4"/>
  <c r="I12" i="4"/>
  <c r="I15" i="4" s="1"/>
  <c r="I18" i="4" s="1"/>
  <c r="I8" i="4"/>
  <c r="E8" i="4"/>
  <c r="E12" i="4"/>
  <c r="E13" i="4"/>
  <c r="E21" i="4"/>
  <c r="K12" i="4"/>
  <c r="K15" i="4" s="1"/>
  <c r="K18" i="4" s="1"/>
  <c r="D9" i="5"/>
  <c r="D21" i="4"/>
  <c r="D13" i="4"/>
  <c r="D12" i="4"/>
  <c r="D8" i="4"/>
  <c r="M12" i="4"/>
  <c r="M8" i="4"/>
  <c r="M21" i="4"/>
  <c r="M13" i="4"/>
  <c r="C24" i="3"/>
  <c r="D30" i="1" s="1"/>
  <c r="C23" i="3"/>
  <c r="B30" i="1"/>
  <c r="E8" i="5"/>
  <c r="D8" i="5"/>
  <c r="C31" i="1"/>
  <c r="B46" i="1"/>
  <c r="D25" i="3"/>
  <c r="L15" i="4"/>
  <c r="L18" i="4" s="1"/>
  <c r="G12" i="4"/>
  <c r="G15" i="4" s="1"/>
  <c r="G18" i="4" s="1"/>
  <c r="G8" i="4"/>
  <c r="G13" i="4"/>
  <c r="G21" i="4"/>
  <c r="E12" i="5"/>
  <c r="D12" i="5"/>
  <c r="K21" i="4"/>
  <c r="B10" i="5"/>
  <c r="E10" i="5" s="1"/>
  <c r="B21" i="4"/>
  <c r="B13" i="4"/>
  <c r="B8" i="4"/>
  <c r="B12" i="4"/>
  <c r="B15" i="4" s="1"/>
  <c r="F12" i="4"/>
  <c r="F8" i="4"/>
  <c r="F13" i="4"/>
  <c r="F21" i="4"/>
  <c r="H12" i="4"/>
  <c r="H15" i="4" s="1"/>
  <c r="H18" i="4" s="1"/>
  <c r="H8" i="4"/>
  <c r="H13" i="4"/>
  <c r="H21" i="4"/>
  <c r="B4" i="5"/>
  <c r="G5" i="1" s="1"/>
  <c r="G13" i="1"/>
  <c r="D13" i="1"/>
  <c r="D24" i="3"/>
  <c r="D31" i="1" s="1"/>
  <c r="B31" i="1"/>
  <c r="D23" i="3"/>
  <c r="C21" i="4"/>
  <c r="C13" i="4"/>
  <c r="C12" i="4"/>
  <c r="C15" i="4" s="1"/>
  <c r="C18" i="4" s="1"/>
  <c r="C8" i="4"/>
  <c r="C26" i="3"/>
  <c r="D26" i="3"/>
  <c r="E31" i="1" s="1"/>
  <c r="F15" i="4" l="1"/>
  <c r="F18" i="4" s="1"/>
  <c r="J9" i="1"/>
  <c r="B18" i="4"/>
  <c r="B19" i="4" s="1"/>
  <c r="M15" i="4"/>
  <c r="M18" i="4" s="1"/>
  <c r="D10" i="5"/>
  <c r="E15" i="4"/>
  <c r="E18" i="4" s="1"/>
  <c r="D15" i="4"/>
  <c r="D18" i="4" s="1"/>
  <c r="E30" i="1"/>
  <c r="J13" i="1"/>
  <c r="A35" i="1" s="1"/>
  <c r="C19" i="4" l="1"/>
  <c r="B20" i="4"/>
  <c r="D19" i="4" l="1"/>
  <c r="C20" i="4"/>
  <c r="E19" i="4" l="1"/>
  <c r="D20" i="4"/>
  <c r="E20" i="4" l="1"/>
  <c r="F19" i="4"/>
  <c r="F20" i="4" l="1"/>
  <c r="G19" i="4"/>
  <c r="G20" i="4" l="1"/>
  <c r="H19" i="4"/>
  <c r="H20" i="4" l="1"/>
  <c r="I19" i="4"/>
  <c r="J19" i="4" l="1"/>
  <c r="I20" i="4"/>
  <c r="K19" i="4" l="1"/>
  <c r="J20" i="4"/>
  <c r="L19" i="4" l="1"/>
  <c r="K20" i="4"/>
  <c r="L20" i="4" l="1"/>
  <c r="M19" i="4"/>
  <c r="A13" i="1" l="1"/>
  <c r="M2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tc={A4FB5AA7-6EE9-295A-A607-975F739A0D8C}</author>
    <author>tc={98F756A8-F2A2-7D66-5BD9-9601FC80961B}</author>
    <author>tc={5E4BD2BB-77CD-71C4-143F-03156B46F089}</author>
  </authors>
  <commentList>
    <comment ref="B6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business / product name for the model control case. Replace with client-approved source. Owner: Finance. As-of: 2026-08-09.</t>
      </text>
    </comment>
    <comment ref="B7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model start month for the model control case. Replace with client-approved source. Owner: Finance. As-of: 2026-08-09.</t>
      </text>
    </comment>
    <comment ref="B8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currency for the model control case. Replace with client-approved source. Owner: Finance. As-of: 2026-08-09.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tc={13BBABFE-2AC6-02B4-CFA5-46A9838C9EAB}</author>
    <author>tc={38606BCD-C87F-5EB5-1C58-14A6BCAC35F2}</author>
    <author>tc={58351FB6-BA99-871B-D552-DDBE374D65C7}</author>
    <author>tc={C91A8E54-26C5-C0E4-08CF-DDD25CC5F8E0}</author>
    <author>tc={E4E19564-A5FD-4BD7-C4A1-474C011AB6DA}</author>
    <author>tc={79899DAD-7AD7-580E-4C45-B2B3E91D8AAF}</author>
    <author>tc={BADF4AED-22DF-31BC-AF2A-F060EC3A71D0}</author>
    <author>tc={CA09EFC2-565D-7798-A09A-3386F93D6BAA}</author>
    <author>tc={6BC201A2-11D0-6C0B-5D67-3F2BFC4DEA9A}</author>
    <author>tc={BD0E3C8A-242C-3A9E-C8AA-384ADCDA3752}</author>
    <author>tc={CFEED442-E6F3-8089-8A14-66081782B9E4}</author>
    <author>tc={7BA61FF9-8734-86C0-191F-B7AC22B12608}</author>
    <author>tc={BE68BCAD-3695-8542-8F37-789CE99012FA}</author>
    <author>tc={BB1831A0-F4EB-6A75-69A6-4B8CDD19019F}</author>
    <author>tc={DCB3F646-CF4E-625B-192B-6930DE407FE3}</author>
    <author>tc={C8C7DC74-69E7-EDC7-F62A-E2E43D650CD3}</author>
    <author>tc={1A7BCA51-DF95-FDFB-816D-2B757800B40C}</author>
    <author>tc={38B11E26-DA0D-C07F-201C-3EE0A5186914}</author>
    <author>tc={AEC64048-14C2-970E-C73C-59D0828179C2}</author>
    <author>tc={73CD228A-9DB5-4D82-C2C7-8AC865908ABE}</author>
    <author>tc={D5585D20-4B3A-9447-829F-0DA7861A1FA3}</author>
    <author>tc={E0132037-D951-6D6C-12ED-3238A6D9438F}</author>
    <author>tc={8699E327-EDC3-AB09-9735-EA842F3BD2AD}</author>
    <author>tc={E0562D25-697E-4640-29F2-2211457990C5}</author>
    <author>tc={A6F88667-0811-4400-1C66-FF5DCE889742}</author>
    <author>tc={7E3D450A-0590-0F8C-952C-8B9664807F67}</author>
    <author>tc={ED35C7FA-A3A3-A265-1EFC-952AF9649DAA}</author>
  </authors>
  <commentList>
    <comment ref="B5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Net selling price / unit (INR) for the Downside case. Replace with client-approved source. Owner: Finance. As-of: 2026-08-09.</t>
      </text>
    </comment>
    <comment ref="C5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Net selling price / unit (INR) for the Base Case case. Replace with client-approved source. Owner: Finance. As-of: 2026-08-09.</t>
      </text>
    </comment>
    <comment ref="D5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Net selling price / unit (INR) for the Upside case. Replace with client-approved source. Owner: Finance. As-of: 2026-08-09.</t>
      </text>
    </comment>
    <comment ref="B6" authorId="3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Variable cost / unit (INR) for the Downside case. Replace with client-approved source. Owner: Finance. As-of: 2026-08-09.</t>
      </text>
    </comment>
    <comment ref="C6" authorId="4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Variable cost / unit (INR) for the Base Case case. Replace with client-approved source. Owner: Finance. As-of: 2026-08-09.</t>
      </text>
    </comment>
    <comment ref="D6" authorId="5" shapeId="0" xr:uid="{00000000-0006-0000-02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Variable cost / unit (INR) for the Upside case. Replace with client-approved source. Owner: Finance. As-of: 2026-08-09.</t>
      </text>
    </comment>
    <comment ref="B7" authorId="6" shapeId="0" xr:uid="{00000000-0006-0000-02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Fixed operating cost / month (INR) for the Downside case. Replace with client-approved source. Owner: Finance. As-of: 2026-08-09.</t>
      </text>
    </comment>
    <comment ref="C7" authorId="7" shapeId="0" xr:uid="{00000000-0006-0000-02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Fixed operating cost / month (INR) for the Base Case case. Replace with client-approved source. Owner: Finance. As-of: 2026-08-09.</t>
      </text>
    </comment>
    <comment ref="D7" authorId="8" shapeId="0" xr:uid="{00000000-0006-0000-02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Fixed operating cost / month (INR) for the Upside case. Replace with client-approved source. Owner: Finance. As-of: 2026-08-09.</t>
      </text>
    </comment>
    <comment ref="B8" authorId="9" shapeId="0" xr:uid="{00000000-0006-0000-02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Opening monthly unit sales for the Downside case. Replace with client-approved source. Owner: Finance. As-of: 2026-08-09.</t>
      </text>
    </comment>
    <comment ref="C8" authorId="10" shapeId="0" xr:uid="{00000000-0006-0000-02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Opening monthly unit sales for the Base Case case. Replace with client-approved source. Owner: Finance. As-of: 2026-08-09.</t>
      </text>
    </comment>
    <comment ref="D8" authorId="11" shapeId="0" xr:uid="{00000000-0006-0000-02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Opening monthly unit sales for the Upside case. Replace with client-approved source. Owner: Finance. As-of: 2026-08-09.</t>
      </text>
    </comment>
    <comment ref="B9" authorId="12" shapeId="0" xr:uid="{00000000-0006-0000-02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Monthly sales growth for the Downside case. Replace with client-approved source. Owner: Finance. As-of: 2026-08-09.</t>
      </text>
    </comment>
    <comment ref="C9" authorId="13" shapeId="0" xr:uid="{00000000-0006-0000-02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Monthly sales growth for the Base Case case. Replace with client-approved source. Owner: Finance. As-of: 2026-08-09.</t>
      </text>
    </comment>
    <comment ref="D9" authorId="14" shapeId="0" xr:uid="{00000000-0006-0000-02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Monthly sales growth for the Upside case. Replace with client-approved source. Owner: Finance. As-of: 2026-08-09.</t>
      </text>
    </comment>
    <comment ref="B10" authorId="15" shapeId="0" xr:uid="{00000000-0006-0000-02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Maximum capacity / month for the Downside case. Replace with client-approved source. Owner: Finance. As-of: 2026-08-09.</t>
      </text>
    </comment>
    <comment ref="C10" authorId="16" shapeId="0" xr:uid="{00000000-0006-0000-02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Maximum capacity / month for the Base Case case. Replace with client-approved source. Owner: Finance. As-of: 2026-08-09.</t>
      </text>
    </comment>
    <comment ref="D10" authorId="17" shapeId="0" xr:uid="{00000000-0006-0000-02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Maximum capacity / month for the Upside case. Replace with client-approved source. Owner: Finance. As-of: 2026-08-09.</t>
      </text>
    </comment>
    <comment ref="B11" authorId="18" shapeId="0" xr:uid="{00000000-0006-0000-02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Target profit / month (INR) for the Downside case. Replace with client-approved source. Owner: Finance. As-of: 2026-08-09.</t>
      </text>
    </comment>
    <comment ref="C11" authorId="19" shapeId="0" xr:uid="{00000000-0006-0000-02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Target profit / month (INR) for the Base Case case. Replace with client-approved source. Owner: Finance. As-of: 2026-08-09.</t>
      </text>
    </comment>
    <comment ref="D11" authorId="20" shapeId="0" xr:uid="{00000000-0006-0000-02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Target profit / month (INR) for the Upside case. Replace with client-approved source. Owner: Finance. As-of: 2026-08-09.</t>
      </text>
    </comment>
    <comment ref="B12" authorId="21" shapeId="0" xr:uid="{00000000-0006-0000-02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Initial investment (INR) for the Downside case. Replace with client-approved source. Owner: Finance. As-of: 2026-08-09.</t>
      </text>
    </comment>
    <comment ref="C12" authorId="22" shapeId="0" xr:uid="{00000000-0006-0000-02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Initial investment (INR) for the Base Case case. Replace with client-approved source. Owner: Finance. As-of: 2026-08-09.</t>
      </text>
    </comment>
    <comment ref="D12" authorId="23" shapeId="0" xr:uid="{00000000-0006-0000-02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Initial investment (INR) for the Upside case. Replace with client-approved source. Owner: Finance. As-of: 2026-08-09.</t>
      </text>
    </comment>
    <comment ref="B13" authorId="24" shapeId="0" xr:uid="{00000000-0006-0000-02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One-off launch costs (INR) for the Downside case. Replace with client-approved source. Owner: Finance. As-of: 2026-08-09.</t>
      </text>
    </comment>
    <comment ref="C13" authorId="25" shapeId="0" xr:uid="{00000000-0006-0000-02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One-off launch costs (INR) for the Base Case case. Replace with client-approved source. Owner: Finance. As-of: 2026-08-09.</t>
      </text>
    </comment>
    <comment ref="D13" authorId="26" shapeId="0" xr:uid="{00000000-0006-0000-02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One-off launch costs (INR) for the Upside case. Replace with client-approved source. Owner: Finance. As-of: 2026-08-09.</t>
      </text>
    </comment>
  </commentList>
</comments>
</file>

<file path=xl/sharedStrings.xml><?xml version="1.0" encoding="utf-8"?>
<sst xmlns="http://schemas.openxmlformats.org/spreadsheetml/2006/main" count="250" uniqueCount="194">
  <si>
    <t>Break-Even Calculator | Executive Dashboard</t>
  </si>
  <si>
    <t>A decision-ready view of break-even, profitability, capacity, cash payback, and scenario risk.</t>
  </si>
  <si>
    <t>Active Scenario</t>
  </si>
  <si>
    <t>Business / Product</t>
  </si>
  <si>
    <t>Model Start</t>
  </si>
  <si>
    <t>Model Status</t>
  </si>
  <si>
    <t>Key Decision Metrics</t>
  </si>
  <si>
    <t>Break-even Units / Month</t>
  </si>
  <si>
    <t>Break-even Revenue / Month (INR)</t>
  </si>
  <si>
    <t>Contribution / Unit (INR)</t>
  </si>
  <si>
    <t>Average Forecast Profit / Month (INR)</t>
  </si>
  <si>
    <t>Cash Break-even Month</t>
  </si>
  <si>
    <t>Capacity at Break-even</t>
  </si>
  <si>
    <t>Margin of Safety</t>
  </si>
  <si>
    <t>Viability Status</t>
  </si>
  <si>
    <t>Break-Even Curve Data</t>
  </si>
  <si>
    <t>Units sold</t>
  </si>
  <si>
    <t>Revenue</t>
  </si>
  <si>
    <t>Total cost</t>
  </si>
  <si>
    <t>Fixed cost</t>
  </si>
  <si>
    <t>Scenario Comparison</t>
  </si>
  <si>
    <t>Scenario</t>
  </si>
  <si>
    <t>Break-even Units</t>
  </si>
  <si>
    <t>Forecast Profit / Month</t>
  </si>
  <si>
    <t>Capacity at BE</t>
  </si>
  <si>
    <t>Viability</t>
  </si>
  <si>
    <t>Downside</t>
  </si>
  <si>
    <t>Base Case</t>
  </si>
  <si>
    <t>Upside</t>
  </si>
  <si>
    <t>Management Recommendation</t>
  </si>
  <si>
    <t>Forecast Profit / Month (INR)</t>
  </si>
  <si>
    <t>Break-Even Calculator | Model Controls</t>
  </si>
  <si>
    <t>Choose the active scenario here. Update assumptions in the Scenarios tab; active values below are linked automatically.</t>
  </si>
  <si>
    <t>Model Controls</t>
  </si>
  <si>
    <t>Model Legend &amp; User Notes</t>
  </si>
  <si>
    <t>Selected scenario</t>
  </si>
  <si>
    <t>Blue font + yellow fill</t>
  </si>
  <si>
    <t>Editable control or scenario assumption</t>
  </si>
  <si>
    <t>Business / product name</t>
  </si>
  <si>
    <t>Example Product / Service</t>
  </si>
  <si>
    <t>Green font</t>
  </si>
  <si>
    <t>Linked value from another worksheet</t>
  </si>
  <si>
    <t>Model start month</t>
  </si>
  <si>
    <t>Black font</t>
  </si>
  <si>
    <t>Calculation or output</t>
  </si>
  <si>
    <t>Currency</t>
  </si>
  <si>
    <t>INR (₹)</t>
  </si>
  <si>
    <t>Red result</t>
  </si>
  <si>
    <t>Review required / exception</t>
  </si>
  <si>
    <t>Active Scenario Assumptions</t>
  </si>
  <si>
    <t>How to use: (1) Select a scenario above. (2) Update the blue-font assumptions in the Scenarios tab with approved figures. (3) Review the Dashboard for the break-even decision, key risks, and capacity impact. All figures are monthly unless stated otherwise.</t>
  </si>
  <si>
    <t>Net selling price / unit (INR)</t>
  </si>
  <si>
    <t>Variable cost / unit (INR)</t>
  </si>
  <si>
    <t>Fixed operating cost / month (INR)</t>
  </si>
  <si>
    <t>Opening monthly unit sales</t>
  </si>
  <si>
    <t>Monthly sales growth</t>
  </si>
  <si>
    <t>Maximum capacity / month</t>
  </si>
  <si>
    <t>Target profit / month (INR)</t>
  </si>
  <si>
    <t>Initial investment (INR)</t>
  </si>
  <si>
    <t>One-off launch costs (INR)</t>
  </si>
  <si>
    <t>Break-Even Calculator | Scenario Assumptions</t>
  </si>
  <si>
    <t>Blue-font cells are editable assumptions. Replace illustrative values with client-approved inputs.</t>
  </si>
  <si>
    <t>Scenario Assumptions</t>
  </si>
  <si>
    <t>Scenario Governance</t>
  </si>
  <si>
    <t>Parameter</t>
  </si>
  <si>
    <t>Field</t>
  </si>
  <si>
    <t>Guidance</t>
  </si>
  <si>
    <t>Owner</t>
  </si>
  <si>
    <t>Review Status</t>
  </si>
  <si>
    <t>Notes</t>
  </si>
  <si>
    <t>Price</t>
  </si>
  <si>
    <t>Use net realised price after discounts and returns.</t>
  </si>
  <si>
    <t>Commercial</t>
  </si>
  <si>
    <t>To validate</t>
  </si>
  <si>
    <t>Illustrative template</t>
  </si>
  <si>
    <t>Variable cost</t>
  </si>
  <si>
    <t>Include fulfilment, fees, commissions, returns, and direct labour.</t>
  </si>
  <si>
    <t>Operations</t>
  </si>
  <si>
    <t>Use recurring monthly operating costs only.</t>
  </si>
  <si>
    <t>Finance</t>
  </si>
  <si>
    <t>Sales volume</t>
  </si>
  <si>
    <t>Use an achievable ramp, reconciled to the sales plan.</t>
  </si>
  <si>
    <t>Capacity</t>
  </si>
  <si>
    <t>Confirm with production, service delivery, or staffing plan.</t>
  </si>
  <si>
    <t>Scenario Outputs</t>
  </si>
  <si>
    <t>Metric</t>
  </si>
  <si>
    <t>Contribution / unit (INR)</t>
  </si>
  <si>
    <t>Contribution margin %</t>
  </si>
  <si>
    <t>Average monthly units (12 months)</t>
  </si>
  <si>
    <t>Break-even units / month</t>
  </si>
  <si>
    <t>Break-even revenue / month (INR)</t>
  </si>
  <si>
    <t>Forecast profit / month (INR)</t>
  </si>
  <si>
    <t>Margin of safety</t>
  </si>
  <si>
    <t>Capacity use at break-even</t>
  </si>
  <si>
    <t>Cash payback (months)</t>
  </si>
  <si>
    <t>Viability status</t>
  </si>
  <si>
    <t>Break-Even Calculator | 12-Month Operating Model</t>
  </si>
  <si>
    <t>Formula-driven monthly ramp using the selected scenario. All values are in INR unless stated otherwise.</t>
  </si>
  <si>
    <t>Month</t>
  </si>
  <si>
    <t>Month number</t>
  </si>
  <si>
    <t>Unit sales</t>
  </si>
  <si>
    <t>Capacity utilisation</t>
  </si>
  <si>
    <t>Net revenue / unit</t>
  </si>
  <si>
    <t>Variable cost / unit</t>
  </si>
  <si>
    <t>Contribution / unit</t>
  </si>
  <si>
    <t>Variable costs</t>
  </si>
  <si>
    <t>Fixed costs</t>
  </si>
  <si>
    <t>Operating profit / (loss)</t>
  </si>
  <si>
    <t>Initial investment</t>
  </si>
  <si>
    <t>One-off launch costs</t>
  </si>
  <si>
    <t>Net cash flow</t>
  </si>
  <si>
    <t>Cumulative cash flow</t>
  </si>
  <si>
    <t>Cash break-even flag</t>
  </si>
  <si>
    <t>Capacity check</t>
  </si>
  <si>
    <t>Break-Even Calculator | Model Checks</t>
  </si>
  <si>
    <t>The model status is PASS only when all structural and decision-critical checks pass.</t>
  </si>
  <si>
    <t>MODEL STATUS</t>
  </si>
  <si>
    <t>Check</t>
  </si>
  <si>
    <t>Actual</t>
  </si>
  <si>
    <t>Expected / Limit</t>
  </si>
  <si>
    <t>Difference</t>
  </si>
  <si>
    <t>Status</t>
  </si>
  <si>
    <t>Where to fix / note</t>
  </si>
  <si>
    <t>Contribution per unit is positive</t>
  </si>
  <si>
    <t>Update price or variable cost assumptions.</t>
  </si>
  <si>
    <t>Fixed operating costs are non-negative</t>
  </si>
  <si>
    <t>Validate fixed cost source data.</t>
  </si>
  <si>
    <t>Capacity covers break-even units</t>
  </si>
  <si>
    <t>Increase capacity or improve unit economics.</t>
  </si>
  <si>
    <t>Monthly peak units do not exceed capacity</t>
  </si>
  <si>
    <t>Reconcile sales ramp with operational plan.</t>
  </si>
  <si>
    <t>Selected scenario is valid</t>
  </si>
  <si>
    <t>Choose a listed scenario in Inputs.</t>
  </si>
  <si>
    <t>All active assumptions are populated</t>
  </si>
  <si>
    <t>Complete the Scenario assumptions table.</t>
  </si>
  <si>
    <t>Opening monthly sales are non-negative</t>
  </si>
  <si>
    <t>Validate the sales volume assumption.</t>
  </si>
  <si>
    <t>Break-Even Calculator | User Guide &amp; Sources</t>
  </si>
  <si>
    <t>Use this sheet for version control, source tracking, and consistent model use.</t>
  </si>
  <si>
    <t>How to Use the Calculator</t>
  </si>
  <si>
    <t>Version Control</t>
  </si>
  <si>
    <t>Step 1</t>
  </si>
  <si>
    <t>Select Downside, Base Case, or Upside in the Inputs tab.</t>
  </si>
  <si>
    <t>Version</t>
  </si>
  <si>
    <t>Step 2</t>
  </si>
  <si>
    <t>Replace blue-font scenario assumptions with approved data.</t>
  </si>
  <si>
    <t>Prepared date</t>
  </si>
  <si>
    <t>Step 3</t>
  </si>
  <si>
    <t>Review break-even, capacity, cash payback, and viability on the Dashboard.</t>
  </si>
  <si>
    <t>Prepared by</t>
  </si>
  <si>
    <t>Business Analysis Template</t>
  </si>
  <si>
    <t>Step 4</t>
  </si>
  <si>
    <t>Use the Checks tab before sharing the model or making a decision.</t>
  </si>
  <si>
    <t>Model owner</t>
  </si>
  <si>
    <t>Finance / Commercial</t>
  </si>
  <si>
    <t>Illustrative values — replace before client use</t>
  </si>
  <si>
    <t>Assumption Source Register</t>
  </si>
  <si>
    <t>Item</t>
  </si>
  <si>
    <t>Value Type</t>
  </si>
  <si>
    <t>Unit / Period</t>
  </si>
  <si>
    <t>Source Type</t>
  </si>
  <si>
    <t>Source / Reference</t>
  </si>
  <si>
    <t>Net selling price</t>
  </si>
  <si>
    <t>All</t>
  </si>
  <si>
    <t>Assumption</t>
  </si>
  <si>
    <t>INR / unit</t>
  </si>
  <si>
    <t>Commercial plan</t>
  </si>
  <si>
    <t>Replace with approved price waterfall</t>
  </si>
  <si>
    <t>Net of discounts, returns, and rebates</t>
  </si>
  <si>
    <t>Costing file</t>
  </si>
  <si>
    <t>Replace with supplier / operational costing</t>
  </si>
  <si>
    <t>Include fulfilment, fees, and commissions</t>
  </si>
  <si>
    <t>Fixed operating cost</t>
  </si>
  <si>
    <t>INR / month</t>
  </si>
  <si>
    <t>Budget</t>
  </si>
  <si>
    <t>Replace with approved monthly budget</t>
  </si>
  <si>
    <t>Exclude one-off launch costs</t>
  </si>
  <si>
    <t>Units / month</t>
  </si>
  <si>
    <t>Sales forecast</t>
  </si>
  <si>
    <t>Replace with approved demand plan</t>
  </si>
  <si>
    <t>Reconcile with capacity</t>
  </si>
  <si>
    <t>Operations plan</t>
  </si>
  <si>
    <t>Replace with confirmed capacity plan</t>
  </si>
  <si>
    <t>Use practical, not theoretical capacity</t>
  </si>
  <si>
    <t>Model Conventions</t>
  </si>
  <si>
    <t>INR (₹), editable in Inputs for documentation purposes.</t>
  </si>
  <si>
    <t>Periodicity</t>
  </si>
  <si>
    <t>Monthly operating model; use one consistent period across all inputs.</t>
  </si>
  <si>
    <t>Tax treatment</t>
  </si>
  <si>
    <t>Operating break-even before tax. Add tax only if required for a specific client decision.</t>
  </si>
  <si>
    <t>Break-even</t>
  </si>
  <si>
    <t>Fixed operating cost divided by unit contribution; rounded up to whole units.</t>
  </si>
  <si>
    <t>Cash payback</t>
  </si>
  <si>
    <t>Initial investment plus launch costs divided by positive forecast operating profit per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</si>
</sst>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-"/>
    <numFmt numFmtId="165" formatCode="0.0%;[Red]\(0.0%\);\-"/>
    <numFmt numFmtId="166" formatCode="#,##0.0;[Red]\(#,##0.0\);\-"/>
    <numFmt numFmtId="167" formatCode="mmm\-yy"/>
    <numFmt numFmtId="168" formatCode="yyyy\-mm\-dd"/>
  </numFmts>
  <fonts count="15">
    <font>
      <sz val="11"/>
      <name val="Carlito"/>
    </font>
    <font>
      <b/>
      <sz val="16"/>
      <color rgb="FFFFFFFF"/>
      <name val="Carlito"/>
    </font>
    <font>
      <i/>
      <sz val="11"/>
      <color rgb="FFD9EAF7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FF"/>
      <name val="Carlito"/>
    </font>
    <font>
      <b/>
      <sz val="11"/>
      <name val="Carlito"/>
    </font>
    <font>
      <sz val="11"/>
      <color rgb="FF008000"/>
      <name val="Carlito"/>
    </font>
    <font>
      <b/>
      <sz val="11"/>
      <color rgb="FF0000FF"/>
      <name val="Carlito"/>
    </font>
    <font>
      <b/>
      <sz val="11"/>
      <color rgb="FF008000"/>
      <name val="Carlito"/>
    </font>
    <font>
      <b/>
      <sz val="11"/>
      <color rgb="FFC00000"/>
      <name val="Carlito"/>
    </font>
    <font>
      <b/>
      <sz val="14"/>
      <color rgb="FF000000"/>
      <name val="Carlito"/>
    </font>
    <font>
      <u/>
      <sz val="11"/>
      <color rgb="FF000000"/>
      <name val="Carlito"/>
    </font>
    <font>
      <i/>
      <sz val="11"/>
      <color theme="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D18A"/>
      </left>
      <right style="thin">
        <color rgb="FFE6D18A"/>
      </right>
      <top style="thin">
        <color rgb="FFE6D18A"/>
      </top>
      <bottom style="thin">
        <color rgb="FFE6D18A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7" fillId="4" borderId="1" xfId="0" applyFont="1" applyFill="1" applyBorder="1" applyAlignment="1">
      <alignment horizontal="center"/>
    </xf>
    <xf numFmtId="164" fontId="5" fillId="0" borderId="0" xfId="0" applyNumberFormat="1" applyFont="1"/>
    <xf numFmtId="0" fontId="7" fillId="4" borderId="1" xfId="0" applyFont="1" applyFill="1" applyBorder="1" applyAlignment="1">
      <alignment horizontal="center" wrapText="1"/>
    </xf>
    <xf numFmtId="164" fontId="8" fillId="0" borderId="0" xfId="0" applyNumberFormat="1" applyFont="1"/>
    <xf numFmtId="165" fontId="8" fillId="0" borderId="0" xfId="0" applyNumberFormat="1" applyFont="1"/>
    <xf numFmtId="0" fontId="0" fillId="0" borderId="1" xfId="0" applyBorder="1"/>
    <xf numFmtId="164" fontId="8" fillId="0" borderId="1" xfId="0" applyNumberFormat="1" applyFont="1" applyBorder="1"/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6" fillId="5" borderId="2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165" fontId="6" fillId="5" borderId="2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5" borderId="2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167" fontId="6" fillId="5" borderId="2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164" fontId="8" fillId="6" borderId="3" xfId="0" applyNumberFormat="1" applyFont="1" applyFill="1" applyBorder="1" applyAlignment="1">
      <alignment vertical="center"/>
    </xf>
    <xf numFmtId="165" fontId="8" fillId="6" borderId="3" xfId="0" applyNumberFormat="1" applyFont="1" applyFill="1" applyBorder="1" applyAlignment="1">
      <alignment vertical="center"/>
    </xf>
    <xf numFmtId="0" fontId="7" fillId="9" borderId="0" xfId="0" applyFont="1" applyFill="1" applyAlignment="1">
      <alignment vertical="center"/>
    </xf>
    <xf numFmtId="167" fontId="10" fillId="4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8" borderId="12" xfId="0" applyFont="1" applyFill="1" applyBorder="1" applyAlignment="1">
      <alignment vertical="center"/>
    </xf>
    <xf numFmtId="164" fontId="4" fillId="8" borderId="13" xfId="0" applyNumberFormat="1" applyFont="1" applyFill="1" applyBorder="1" applyAlignment="1">
      <alignment vertical="center"/>
    </xf>
    <xf numFmtId="164" fontId="4" fillId="8" borderId="14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164" fontId="4" fillId="5" borderId="5" xfId="0" applyNumberFormat="1" applyFont="1" applyFill="1" applyBorder="1" applyAlignment="1">
      <alignment vertical="center"/>
    </xf>
    <xf numFmtId="164" fontId="4" fillId="5" borderId="6" xfId="0" applyNumberFormat="1" applyFont="1" applyFill="1" applyBorder="1" applyAlignment="1">
      <alignment vertical="center"/>
    </xf>
    <xf numFmtId="0" fontId="7" fillId="5" borderId="9" xfId="0" applyFont="1" applyFill="1" applyBorder="1" applyAlignment="1">
      <alignment vertical="center"/>
    </xf>
    <xf numFmtId="164" fontId="4" fillId="5" borderId="10" xfId="0" applyNumberFormat="1" applyFont="1" applyFill="1" applyBorder="1" applyAlignment="1">
      <alignment vertical="center"/>
    </xf>
    <xf numFmtId="164" fontId="4" fillId="5" borderId="1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6" fontId="13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164" fontId="12" fillId="8" borderId="4" xfId="0" applyNumberFormat="1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/>
    </xf>
    <xf numFmtId="167" fontId="10" fillId="10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7" fillId="8" borderId="4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7" fillId="8" borderId="7" xfId="0" applyFont="1" applyFill="1" applyBorder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0" fontId="7" fillId="8" borderId="10" xfId="0" applyFont="1" applyFill="1" applyBorder="1" applyAlignment="1">
      <alignment horizontal="left" vertical="center" wrapText="1"/>
    </xf>
    <xf numFmtId="0" fontId="7" fillId="8" borderId="11" xfId="0" applyFont="1" applyFill="1" applyBorder="1" applyAlignment="1">
      <alignment horizontal="left" vertical="center" wrapText="1"/>
    </xf>
    <xf numFmtId="167" fontId="12" fillId="5" borderId="4" xfId="0" applyNumberFormat="1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165" fontId="12" fillId="5" borderId="4" xfId="0" applyNumberFormat="1" applyFont="1" applyFill="1" applyBorder="1" applyAlignment="1">
      <alignment horizontal="center" vertical="center" wrapText="1"/>
    </xf>
    <xf numFmtId="49" fontId="12" fillId="5" borderId="4" xfId="0" applyNumberFormat="1" applyFont="1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0" fillId="8" borderId="9" xfId="0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8" borderId="1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14" fillId="12" borderId="0" xfId="0" applyFont="1" applyFill="1" applyAlignment="1">
      <alignment horizontal="left" vertical="center"/>
    </xf>
  </cellXfs>
  <cellStyles count="1">
    <cellStyle name="Normal" xfId="0" builtinId="0"/>
  </cellStyles>
  <dxfs count="1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vs Total Cost (INR)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numRef>
              <c:f>Dashboard!$A$18:$A$24</c:f>
              <c:numCache>
                <c:formatCode>#,##0;[Red]\(#,##0\);\-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</c:numCache>
            </c:numRef>
          </c:cat>
          <c:val>
            <c:numRef>
              <c:f>Dashboard!$B$18:$B$24</c:f>
              <c:numCache>
                <c:formatCode>#,##0;[Red]\(#,##0\);\-</c:formatCode>
                <c:ptCount val="7"/>
                <c:pt idx="0">
                  <c:v>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2-4BF5-AE26-92BC30ACCD15}"/>
            </c:ext>
          </c:extLst>
        </c:ser>
        <c:ser>
          <c:idx val="1"/>
          <c:order val="1"/>
          <c:tx>
            <c:v>Total cost</c:v>
          </c:tx>
          <c:marker>
            <c:symbol val="none"/>
          </c:marker>
          <c:cat>
            <c:numRef>
              <c:f>Dashboard!$A$18:$A$24</c:f>
              <c:numCache>
                <c:formatCode>#,##0;[Red]\(#,##0\);\-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</c:numCache>
            </c:numRef>
          </c:cat>
          <c:val>
            <c:numRef>
              <c:f>Dashboard!$C$18:$C$24</c:f>
              <c:numCache>
                <c:formatCode>#,##0;[Red]\(#,##0\);\-</c:formatCode>
                <c:ptCount val="7"/>
                <c:pt idx="0">
                  <c:v>200000</c:v>
                </c:pt>
                <c:pt idx="1">
                  <c:v>320000</c:v>
                </c:pt>
                <c:pt idx="2">
                  <c:v>440000</c:v>
                </c:pt>
                <c:pt idx="3">
                  <c:v>560000</c:v>
                </c:pt>
                <c:pt idx="4">
                  <c:v>680000</c:v>
                </c:pt>
                <c:pt idx="5">
                  <c:v>800000</c:v>
                </c:pt>
                <c:pt idx="6">
                  <c:v>920000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62-4BF5-AE26-92BC30ACCD15}"/>
            </c:ext>
          </c:extLst>
        </c:ser>
        <c:ser>
          <c:idx val="2"/>
          <c:order val="2"/>
          <c:tx>
            <c:v>Fixed cost</c:v>
          </c:tx>
          <c:marker>
            <c:symbol val="none"/>
          </c:marker>
          <c:cat>
            <c:numRef>
              <c:f>Dashboard!$A$18:$A$24</c:f>
              <c:numCache>
                <c:formatCode>#,##0;[Red]\(#,##0\);\-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</c:numCache>
            </c:numRef>
          </c:cat>
          <c:val>
            <c:numRef>
              <c:f>Dashboard!$D$18:$D$24</c:f>
              <c:numCache>
                <c:formatCode>#,##0;[Red]\(#,##0\);\-</c:formatCode>
                <c:ptCount val="7"/>
                <c:pt idx="0">
                  <c:v>200000</c:v>
                </c:pt>
                <c:pt idx="1">
                  <c:v>200000</c:v>
                </c:pt>
                <c:pt idx="2">
                  <c:v>200000</c:v>
                </c:pt>
                <c:pt idx="3">
                  <c:v>200000</c:v>
                </c:pt>
                <c:pt idx="4">
                  <c:v>200000</c:v>
                </c:pt>
                <c:pt idx="5">
                  <c:v>200000</c:v>
                </c:pt>
                <c:pt idx="6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62-4BF5-AE26-92BC30ACC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Profit / (Loss) by Scenario (INR)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Forecast Profit / Month (INR)</c:v>
          </c:tx>
          <c:invertIfNegative val="1"/>
          <c:cat>
            <c:strRef>
              <c:f>Dashboard!$A$44:$A$46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Dashboard!$B$44:$B$46</c:f>
              <c:numCache>
                <c:formatCode>#,##0;[Red]\(#,##0\);\-</c:formatCode>
                <c:ptCount val="3"/>
                <c:pt idx="0">
                  <c:v>-101102</c:v>
                </c:pt>
                <c:pt idx="1">
                  <c:v>125559</c:v>
                </c:pt>
                <c:pt idx="2">
                  <c:v>357405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C-4F7B-AB50-07410C27F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9524</xdr:rowOff>
    </xdr:from>
    <xdr:to>
      <xdr:col>6</xdr:col>
      <xdr:colOff>0</xdr:colOff>
      <xdr:row>30</xdr:row>
      <xdr:rowOff>180974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1600200</xdr:colOff>
      <xdr:row>47</xdr:row>
      <xdr:rowOff>9525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AF050AAC-C370-72B1-A91B-D72633BFC64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1600200</xdr:colOff>
      <xdr:row>47</xdr:row>
      <xdr:rowOff>9525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E53E6233-5362-3DD6-69B9-8CEA2A85C6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1600200</xdr:colOff>
      <xdr:row>47</xdr:row>
      <xdr:rowOff>9525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80E75B5-B44C-A40C-6FD1-D11117DADD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43</xdr:row>
      <xdr:rowOff>76200</xdr:rowOff>
    </xdr:to>
    <xdr:sp macro="" textlink="">
      <xdr:nvSpPr>
        <xdr:cNvPr id="3100" name="Text Box 28" hidden="1">
          <a:extLst>
            <a:ext uri="{FF2B5EF4-FFF2-40B4-BE49-F238E27FC236}">
              <a16:creationId xmlns:a16="http://schemas.microsoft.com/office/drawing/2014/main" id="{22673891-F682-2E48-9D70-202531B4458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0</xdr:colOff>
      <xdr:row>43</xdr:row>
      <xdr:rowOff>76200</xdr:rowOff>
    </xdr:to>
    <xdr:sp macro="" textlink="">
      <xdr:nvSpPr>
        <xdr:cNvPr id="2" name="AutoShape 28">
          <a:extLst>
            <a:ext uri="{FF2B5EF4-FFF2-40B4-BE49-F238E27FC236}">
              <a16:creationId xmlns:a16="http://schemas.microsoft.com/office/drawing/2014/main" id="{97EC611E-9172-92FD-A071-9E06051520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0</xdr:colOff>
      <xdr:row>43</xdr:row>
      <xdr:rowOff>76200</xdr:rowOff>
    </xdr:to>
    <xdr:sp macro="" textlink="">
      <xdr:nvSpPr>
        <xdr:cNvPr id="3" name="AutoShape 28">
          <a:extLst>
            <a:ext uri="{FF2B5EF4-FFF2-40B4-BE49-F238E27FC236}">
              <a16:creationId xmlns:a16="http://schemas.microsoft.com/office/drawing/2014/main" id="{0D25B92D-523F-76E1-4E61-41977F1D6A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D1AEE36E-9E50-4D5A-866A-8CE42A35BFB2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8-09T17:31:15.34" personId="{D1AEE36E-9E50-4D5A-866A-8CE42A35BFB2}" id="{A4FB5AA7-6EE9-295A-A607-975F739A0D8C}">
    <text>Assumption: illustrative business / product name for the model control case. Replace with client-approved source. Owner: Finance. As-of: 2026-08-09.</text>
  </threadedComment>
  <threadedComment ref="B7" dT="2026-08-09T17:31:15.34" personId="{D1AEE36E-9E50-4D5A-866A-8CE42A35BFB2}" id="{98F756A8-F2A2-7D66-5BD9-9601FC80961B}">
    <text>Assumption: illustrative model start month for the model control case. Replace with client-approved source. Owner: Finance. As-of: 2026-08-09.</text>
  </threadedComment>
  <threadedComment ref="B8" dT="2026-08-09T17:31:15.34" personId="{D1AEE36E-9E50-4D5A-866A-8CE42A35BFB2}" id="{5E4BD2BB-77CD-71C4-143F-03156B46F089}">
    <text>Assumption: illustrative currency for the model control case. Replace with client-approved source. Owner: Finance. As-of: 2026-08-09.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6-08-09T17:31:15.34" personId="{D1AEE36E-9E50-4D5A-866A-8CE42A35BFB2}" id="{13BBABFE-2AC6-02B4-CFA5-46A9838C9EAB}">
    <text>Assumption: illustrative Net selling price / unit (INR) for the Downside case. Replace with client-approved source. Owner: Finance. As-of: 2026-08-09.</text>
  </threadedComment>
  <threadedComment ref="C5" dT="2026-08-09T17:31:15.34" personId="{D1AEE36E-9E50-4D5A-866A-8CE42A35BFB2}" id="{38606BCD-C87F-5EB5-1C58-14A6BCAC35F2}">
    <text>Assumption: illustrative Net selling price / unit (INR) for the Base Case case. Replace with client-approved source. Owner: Finance. As-of: 2026-08-09.</text>
  </threadedComment>
  <threadedComment ref="D5" dT="2026-08-09T17:31:15.34" personId="{D1AEE36E-9E50-4D5A-866A-8CE42A35BFB2}" id="{58351FB6-BA99-871B-D552-DDBE374D65C7}">
    <text>Assumption: illustrative Net selling price / unit (INR) for the Upside case. Replace with client-approved source. Owner: Finance. As-of: 2026-08-09.</text>
  </threadedComment>
  <threadedComment ref="B6" dT="2026-08-09T17:31:15.34" personId="{D1AEE36E-9E50-4D5A-866A-8CE42A35BFB2}" id="{C91A8E54-26C5-C0E4-08CF-DDD25CC5F8E0}">
    <text>Assumption: illustrative Variable cost / unit (INR) for the Downside case. Replace with client-approved source. Owner: Finance. As-of: 2026-08-09.</text>
  </threadedComment>
  <threadedComment ref="C6" dT="2026-08-09T17:31:15.34" personId="{D1AEE36E-9E50-4D5A-866A-8CE42A35BFB2}" id="{E4E19564-A5FD-4BD7-C4A1-474C011AB6DA}">
    <text>Assumption: illustrative Variable cost / unit (INR) for the Base Case case. Replace with client-approved source. Owner: Finance. As-of: 2026-08-09.</text>
  </threadedComment>
  <threadedComment ref="D6" dT="2026-08-09T17:31:15.34" personId="{D1AEE36E-9E50-4D5A-866A-8CE42A35BFB2}" id="{79899DAD-7AD7-580E-4C45-B2B3E91D8AAF}">
    <text>Assumption: illustrative Variable cost / unit (INR) for the Upside case. Replace with client-approved source. Owner: Finance. As-of: 2026-08-09.</text>
  </threadedComment>
  <threadedComment ref="B7" dT="2026-08-09T17:31:15.34" personId="{D1AEE36E-9E50-4D5A-866A-8CE42A35BFB2}" id="{BADF4AED-22DF-31BC-AF2A-F060EC3A71D0}">
    <text>Assumption: illustrative Fixed operating cost / month (INR) for the Downside case. Replace with client-approved source. Owner: Finance. As-of: 2026-08-09.</text>
  </threadedComment>
  <threadedComment ref="C7" dT="2026-08-09T17:31:15.34" personId="{D1AEE36E-9E50-4D5A-866A-8CE42A35BFB2}" id="{CA09EFC2-565D-7798-A09A-3386F93D6BAA}">
    <text>Assumption: illustrative Fixed operating cost / month (INR) for the Base Case case. Replace with client-approved source. Owner: Finance. As-of: 2026-08-09.</text>
  </threadedComment>
  <threadedComment ref="D7" dT="2026-08-09T17:31:15.34" personId="{D1AEE36E-9E50-4D5A-866A-8CE42A35BFB2}" id="{6BC201A2-11D0-6C0B-5D67-3F2BFC4DEA9A}">
    <text>Assumption: illustrative Fixed operating cost / month (INR) for the Upside case. Replace with client-approved source. Owner: Finance. As-of: 2026-08-09.</text>
  </threadedComment>
  <threadedComment ref="B8" dT="2026-08-09T17:31:15.34" personId="{D1AEE36E-9E50-4D5A-866A-8CE42A35BFB2}" id="{BD0E3C8A-242C-3A9E-C8AA-384ADCDA3752}">
    <text>Assumption: illustrative Opening monthly unit sales for the Downside case. Replace with client-approved source. Owner: Finance. As-of: 2026-08-09.</text>
  </threadedComment>
  <threadedComment ref="C8" dT="2026-08-09T17:31:15.34" personId="{D1AEE36E-9E50-4D5A-866A-8CE42A35BFB2}" id="{CFEED442-E6F3-8089-8A14-66081782B9E4}">
    <text>Assumption: illustrative Opening monthly unit sales for the Base Case case. Replace with client-approved source. Owner: Finance. As-of: 2026-08-09.</text>
  </threadedComment>
  <threadedComment ref="D8" dT="2026-08-09T17:31:15.34" personId="{D1AEE36E-9E50-4D5A-866A-8CE42A35BFB2}" id="{7BA61FF9-8734-86C0-191F-B7AC22B12608}">
    <text>Assumption: illustrative Opening monthly unit sales for the Upside case. Replace with client-approved source. Owner: Finance. As-of: 2026-08-09.</text>
  </threadedComment>
  <threadedComment ref="B9" dT="2026-08-09T17:31:15.34" personId="{D1AEE36E-9E50-4D5A-866A-8CE42A35BFB2}" id="{BE68BCAD-3695-8542-8F37-789CE99012FA}">
    <text>Assumption: illustrative Monthly sales growth for the Downside case. Replace with client-approved source. Owner: Finance. As-of: 2026-08-09.</text>
  </threadedComment>
  <threadedComment ref="C9" dT="2026-08-09T17:31:15.34" personId="{D1AEE36E-9E50-4D5A-866A-8CE42A35BFB2}" id="{BB1831A0-F4EB-6A75-69A6-4B8CDD19019F}">
    <text>Assumption: illustrative Monthly sales growth for the Base Case case. Replace with client-approved source. Owner: Finance. As-of: 2026-08-09.</text>
  </threadedComment>
  <threadedComment ref="D9" dT="2026-08-09T17:31:15.34" personId="{D1AEE36E-9E50-4D5A-866A-8CE42A35BFB2}" id="{DCB3F646-CF4E-625B-192B-6930DE407FE3}">
    <text>Assumption: illustrative Monthly sales growth for the Upside case. Replace with client-approved source. Owner: Finance. As-of: 2026-08-09.</text>
  </threadedComment>
  <threadedComment ref="B10" dT="2026-08-09T17:31:15.34" personId="{D1AEE36E-9E50-4D5A-866A-8CE42A35BFB2}" id="{C8C7DC74-69E7-EDC7-F62A-E2E43D650CD3}">
    <text>Assumption: illustrative Maximum capacity / month for the Downside case. Replace with client-approved source. Owner: Finance. As-of: 2026-08-09.</text>
  </threadedComment>
  <threadedComment ref="C10" dT="2026-08-09T17:31:15.34" personId="{D1AEE36E-9E50-4D5A-866A-8CE42A35BFB2}" id="{1A7BCA51-DF95-FDFB-816D-2B757800B40C}">
    <text>Assumption: illustrative Maximum capacity / month for the Base Case case. Replace with client-approved source. Owner: Finance. As-of: 2026-08-09.</text>
  </threadedComment>
  <threadedComment ref="D10" dT="2026-08-09T17:31:15.34" personId="{D1AEE36E-9E50-4D5A-866A-8CE42A35BFB2}" id="{38B11E26-DA0D-C07F-201C-3EE0A5186914}">
    <text>Assumption: illustrative Maximum capacity / month for the Upside case. Replace with client-approved source. Owner: Finance. As-of: 2026-08-09.</text>
  </threadedComment>
  <threadedComment ref="B11" dT="2026-08-09T17:31:15.34" personId="{D1AEE36E-9E50-4D5A-866A-8CE42A35BFB2}" id="{AEC64048-14C2-970E-C73C-59D0828179C2}">
    <text>Assumption: illustrative Target profit / month (INR) for the Downside case. Replace with client-approved source. Owner: Finance. As-of: 2026-08-09.</text>
  </threadedComment>
  <threadedComment ref="C11" dT="2026-08-09T17:31:15.34" personId="{D1AEE36E-9E50-4D5A-866A-8CE42A35BFB2}" id="{73CD228A-9DB5-4D82-C2C7-8AC865908ABE}">
    <text>Assumption: illustrative Target profit / month (INR) for the Base Case case. Replace with client-approved source. Owner: Finance. As-of: 2026-08-09.</text>
  </threadedComment>
  <threadedComment ref="D11" dT="2026-08-09T17:31:15.34" personId="{D1AEE36E-9E50-4D5A-866A-8CE42A35BFB2}" id="{D5585D20-4B3A-9447-829F-0DA7861A1FA3}">
    <text>Assumption: illustrative Target profit / month (INR) for the Upside case. Replace with client-approved source. Owner: Finance. As-of: 2026-08-09.</text>
  </threadedComment>
  <threadedComment ref="B12" dT="2026-08-09T17:31:15.34" personId="{D1AEE36E-9E50-4D5A-866A-8CE42A35BFB2}" id="{E0132037-D951-6D6C-12ED-3238A6D9438F}">
    <text>Assumption: illustrative Initial investment (INR) for the Downside case. Replace with client-approved source. Owner: Finance. As-of: 2026-08-09.</text>
  </threadedComment>
  <threadedComment ref="C12" dT="2026-08-09T17:31:15.34" personId="{D1AEE36E-9E50-4D5A-866A-8CE42A35BFB2}" id="{8699E327-EDC3-AB09-9735-EA842F3BD2AD}">
    <text>Assumption: illustrative Initial investment (INR) for the Base Case case. Replace with client-approved source. Owner: Finance. As-of: 2026-08-09.</text>
  </threadedComment>
  <threadedComment ref="D12" dT="2026-08-09T17:31:15.34" personId="{D1AEE36E-9E50-4D5A-866A-8CE42A35BFB2}" id="{E0562D25-697E-4640-29F2-2211457990C5}">
    <text>Assumption: illustrative Initial investment (INR) for the Upside case. Replace with client-approved source. Owner: Finance. As-of: 2026-08-09.</text>
  </threadedComment>
  <threadedComment ref="B13" dT="2026-08-09T17:31:15.34" personId="{D1AEE36E-9E50-4D5A-866A-8CE42A35BFB2}" id="{A6F88667-0811-4400-1C66-FF5DCE889742}">
    <text>Assumption: illustrative One-off launch costs (INR) for the Downside case. Replace with client-approved source. Owner: Finance. As-of: 2026-08-09.</text>
  </threadedComment>
  <threadedComment ref="C13" dT="2026-08-09T17:31:15.34" personId="{D1AEE36E-9E50-4D5A-866A-8CE42A35BFB2}" id="{7E3D450A-0590-0F8C-952C-8B9664807F67}">
    <text>Assumption: illustrative One-off launch costs (INR) for the Base Case case. Replace with client-approved source. Owner: Finance. As-of: 2026-08-09.</text>
  </threadedComment>
  <threadedComment ref="D13" dT="2026-08-09T17:31:15.34" personId="{D1AEE36E-9E50-4D5A-866A-8CE42A35BFB2}" id="{ED35C7FA-A3A3-A265-1EFC-952AF9649DAA}">
    <text>Assumption: illustrative One-off launch costs (INR) for the Upside case. Replace with client-approved source. Owner: Finance. As-of: 2026-08-09.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6"/>
  <sheetViews>
    <sheetView showGridLines="0" workbookViewId="0">
      <selection activeCell="P12" sqref="P12"/>
    </sheetView>
  </sheetViews>
  <sheetFormatPr defaultRowHeight="14.25"/>
  <cols>
    <col min="1" max="12" width="15" customWidth="1"/>
    <col min="13" max="14" width="4" customWidth="1"/>
  </cols>
  <sheetData>
    <row r="1" spans="1:14" ht="30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90"/>
      <c r="N1" s="90"/>
    </row>
    <row r="2" spans="1:14" ht="20.100000000000001" customHeight="1">
      <c r="A2" s="9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1"/>
      <c r="N2" s="91"/>
    </row>
    <row r="4" spans="1:14" ht="15">
      <c r="A4" s="49" t="s">
        <v>2</v>
      </c>
      <c r="B4" s="49"/>
      <c r="C4" s="49" t="s">
        <v>3</v>
      </c>
      <c r="D4" s="49"/>
      <c r="E4" s="49" t="s">
        <v>4</v>
      </c>
      <c r="F4" s="49"/>
      <c r="G4" s="49" t="s">
        <v>5</v>
      </c>
      <c r="H4" s="49"/>
    </row>
    <row r="5" spans="1:14" ht="15">
      <c r="A5" s="59" t="str">
        <f>Inputs!$B$5</f>
        <v>Base Case</v>
      </c>
      <c r="B5" s="59"/>
      <c r="C5" s="59" t="str">
        <f>Inputs!$B$6</f>
        <v>Example Product / Service</v>
      </c>
      <c r="D5" s="59"/>
      <c r="E5" s="60">
        <f>Inputs!$B$7</f>
        <v>46023</v>
      </c>
      <c r="F5" s="59"/>
      <c r="G5" s="59" t="str">
        <f>Checks!$B$4</f>
        <v>PASS</v>
      </c>
      <c r="H5" s="59"/>
    </row>
    <row r="7" spans="1:14" ht="21.95" customHeight="1">
      <c r="A7" s="61" t="s">
        <v>6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</row>
    <row r="8" spans="1:14" ht="21.95" customHeight="1">
      <c r="A8" s="50" t="s">
        <v>7</v>
      </c>
      <c r="B8" s="51"/>
      <c r="C8" s="52"/>
      <c r="D8" s="50" t="s">
        <v>8</v>
      </c>
      <c r="E8" s="51"/>
      <c r="F8" s="52"/>
      <c r="G8" s="50" t="s">
        <v>9</v>
      </c>
      <c r="H8" s="51"/>
      <c r="I8" s="52"/>
      <c r="J8" s="50" t="s">
        <v>10</v>
      </c>
      <c r="K8" s="51"/>
      <c r="L8" s="52"/>
    </row>
    <row r="9" spans="1:14" ht="30" customHeight="1">
      <c r="A9" s="53">
        <f>IF((Inputs!$B$11-Inputs!$B$12)&lt;=0,"N/A",ROUNDUP(Inputs!$B$13/(Inputs!$B$11-Inputs!$B$12),0))</f>
        <v>500</v>
      </c>
      <c r="B9" s="54"/>
      <c r="C9" s="55"/>
      <c r="D9" s="53">
        <f>IF((Inputs!$B$11-Inputs!$B$12)&lt;=0,"N/A",ROUND(Inputs!$B$13/((Inputs!$B$11-Inputs!$B$12)/Inputs!$B$11),0))</f>
        <v>500000</v>
      </c>
      <c r="E9" s="54"/>
      <c r="F9" s="55"/>
      <c r="G9" s="53">
        <f>Inputs!$B$11-Inputs!$B$12</f>
        <v>400</v>
      </c>
      <c r="H9" s="54"/>
      <c r="I9" s="55"/>
      <c r="J9" s="53">
        <f>ROUND(AVERAGE('Monthly Model'!$B$15:$M$15),0)</f>
        <v>125533</v>
      </c>
      <c r="K9" s="54"/>
      <c r="L9" s="55"/>
    </row>
    <row r="10" spans="1:14" ht="30" customHeight="1">
      <c r="A10" s="56"/>
      <c r="B10" s="57"/>
      <c r="C10" s="58"/>
      <c r="D10" s="56"/>
      <c r="E10" s="57"/>
      <c r="F10" s="58"/>
      <c r="G10" s="56"/>
      <c r="H10" s="57"/>
      <c r="I10" s="58"/>
      <c r="J10" s="56"/>
      <c r="K10" s="57"/>
      <c r="L10" s="58"/>
    </row>
    <row r="12" spans="1:14" ht="21.95" customHeight="1">
      <c r="A12" s="50" t="s">
        <v>11</v>
      </c>
      <c r="B12" s="51"/>
      <c r="C12" s="52"/>
      <c r="D12" s="50" t="s">
        <v>12</v>
      </c>
      <c r="E12" s="51"/>
      <c r="F12" s="52"/>
      <c r="G12" s="50" t="s">
        <v>13</v>
      </c>
      <c r="H12" s="51"/>
      <c r="I12" s="52"/>
      <c r="J12" s="50" t="s">
        <v>14</v>
      </c>
      <c r="K12" s="51"/>
      <c r="L12" s="52"/>
    </row>
    <row r="13" spans="1:14" ht="30" customHeight="1">
      <c r="A13" s="71">
        <f>IF('Monthly Model'!$M$19&lt;0,"Beyond 12 months",INDEX('Monthly Model'!$B$4:$M$4,1,MATCH(1,'Monthly Model'!$B$20:$M$20,0)))</f>
        <v>46204</v>
      </c>
      <c r="B13" s="72"/>
      <c r="C13" s="73"/>
      <c r="D13" s="77">
        <f>IFERROR(A9/Inputs!$B$16,0)</f>
        <v>0.45454545454545453</v>
      </c>
      <c r="E13" s="72"/>
      <c r="F13" s="73"/>
      <c r="G13" s="77">
        <f>IFERROR((AVERAGE('Monthly Model'!$B$6:$M$6)-A9)/AVERAGE('Monthly Model'!$B$6:$M$6),0)</f>
        <v>0.38562359205406516</v>
      </c>
      <c r="H13" s="72"/>
      <c r="I13" s="73"/>
      <c r="J13" s="78" t="str">
        <f>INDEX(Scenarios!$B$26:$D$26,1,MATCH(Inputs!$B$5,Scenarios!$B$4:$D$4,0))</f>
        <v>PROFITABLE</v>
      </c>
      <c r="K13" s="72"/>
      <c r="L13" s="73"/>
    </row>
    <row r="14" spans="1:14" ht="30" customHeight="1">
      <c r="A14" s="74"/>
      <c r="B14" s="75"/>
      <c r="C14" s="76"/>
      <c r="D14" s="74"/>
      <c r="E14" s="75"/>
      <c r="F14" s="76"/>
      <c r="G14" s="74"/>
      <c r="H14" s="75"/>
      <c r="I14" s="76"/>
      <c r="J14" s="74"/>
      <c r="K14" s="75"/>
      <c r="L14" s="76"/>
    </row>
    <row r="16" spans="1:14" ht="21.95" customHeight="1">
      <c r="A16" s="61" t="s">
        <v>15</v>
      </c>
      <c r="B16" s="61"/>
      <c r="C16" s="61"/>
      <c r="D16" s="61"/>
    </row>
    <row r="17" spans="1:5" ht="15">
      <c r="A17" s="1" t="s">
        <v>16</v>
      </c>
      <c r="B17" s="1" t="s">
        <v>17</v>
      </c>
      <c r="C17" s="1" t="s">
        <v>18</v>
      </c>
      <c r="D17" s="1" t="s">
        <v>19</v>
      </c>
    </row>
    <row r="18" spans="1:5">
      <c r="A18" s="2">
        <v>0</v>
      </c>
      <c r="B18" s="4">
        <f>A18*Inputs!$B$11</f>
        <v>0</v>
      </c>
      <c r="C18" s="4">
        <f>Inputs!$B$13+(A18*Inputs!$B$12)</f>
        <v>200000</v>
      </c>
      <c r="D18" s="4">
        <f>Inputs!$B$13</f>
        <v>200000</v>
      </c>
    </row>
    <row r="19" spans="1:5">
      <c r="A19" s="2">
        <v>200</v>
      </c>
      <c r="B19" s="4">
        <f>A19*Inputs!$B$11</f>
        <v>200000</v>
      </c>
      <c r="C19" s="4">
        <f>Inputs!$B$13+(A19*Inputs!$B$12)</f>
        <v>320000</v>
      </c>
      <c r="D19" s="4">
        <f>Inputs!$B$13</f>
        <v>200000</v>
      </c>
    </row>
    <row r="20" spans="1:5">
      <c r="A20" s="2">
        <v>400</v>
      </c>
      <c r="B20" s="4">
        <f>A20*Inputs!$B$11</f>
        <v>400000</v>
      </c>
      <c r="C20" s="4">
        <f>Inputs!$B$13+(A20*Inputs!$B$12)</f>
        <v>440000</v>
      </c>
      <c r="D20" s="4">
        <f>Inputs!$B$13</f>
        <v>200000</v>
      </c>
    </row>
    <row r="21" spans="1:5">
      <c r="A21" s="2">
        <v>600</v>
      </c>
      <c r="B21" s="4">
        <f>A21*Inputs!$B$11</f>
        <v>600000</v>
      </c>
      <c r="C21" s="4">
        <f>Inputs!$B$13+(A21*Inputs!$B$12)</f>
        <v>560000</v>
      </c>
      <c r="D21" s="4">
        <f>Inputs!$B$13</f>
        <v>200000</v>
      </c>
    </row>
    <row r="22" spans="1:5">
      <c r="A22" s="2">
        <v>800</v>
      </c>
      <c r="B22" s="4">
        <f>A22*Inputs!$B$11</f>
        <v>800000</v>
      </c>
      <c r="C22" s="4">
        <f>Inputs!$B$13+(A22*Inputs!$B$12)</f>
        <v>680000</v>
      </c>
      <c r="D22" s="4">
        <f>Inputs!$B$13</f>
        <v>200000</v>
      </c>
    </row>
    <row r="23" spans="1:5">
      <c r="A23" s="2">
        <v>1000</v>
      </c>
      <c r="B23" s="4">
        <f>A23*Inputs!$B$11</f>
        <v>1000000</v>
      </c>
      <c r="C23" s="4">
        <f>Inputs!$B$13+(A23*Inputs!$B$12)</f>
        <v>800000</v>
      </c>
      <c r="D23" s="4">
        <f>Inputs!$B$13</f>
        <v>200000</v>
      </c>
    </row>
    <row r="24" spans="1:5">
      <c r="A24" s="2">
        <v>1200</v>
      </c>
      <c r="B24" s="4">
        <f>A24*Inputs!$B$11</f>
        <v>1200000</v>
      </c>
      <c r="C24" s="4">
        <f>Inputs!$B$13+(A24*Inputs!$B$12)</f>
        <v>920000</v>
      </c>
      <c r="D24" s="4">
        <f>Inputs!$B$13</f>
        <v>200000</v>
      </c>
    </row>
    <row r="27" spans="1:5" ht="21.95" customHeight="1">
      <c r="A27" s="61" t="s">
        <v>20</v>
      </c>
      <c r="B27" s="61"/>
      <c r="C27" s="61"/>
      <c r="D27" s="61"/>
      <c r="E27" s="61"/>
    </row>
    <row r="28" spans="1:5" ht="30">
      <c r="A28" s="3" t="s">
        <v>21</v>
      </c>
      <c r="B28" s="3" t="s">
        <v>22</v>
      </c>
      <c r="C28" s="3" t="s">
        <v>23</v>
      </c>
      <c r="D28" s="3" t="s">
        <v>24</v>
      </c>
      <c r="E28" s="3" t="s">
        <v>25</v>
      </c>
    </row>
    <row r="29" spans="1:5">
      <c r="A29" t="s">
        <v>26</v>
      </c>
      <c r="B29" s="4">
        <f>Scenarios!$B$20</f>
        <v>880</v>
      </c>
      <c r="C29" s="4">
        <f>Scenarios!$B$22</f>
        <v>-101102</v>
      </c>
      <c r="D29" s="5">
        <f>Scenarios!$B$24</f>
        <v>0.88</v>
      </c>
      <c r="E29" t="str">
        <f>Scenarios!$B$26</f>
        <v>BELOW B/E</v>
      </c>
    </row>
    <row r="30" spans="1:5">
      <c r="A30" t="s">
        <v>27</v>
      </c>
      <c r="B30" s="4">
        <f>Scenarios!$C$20</f>
        <v>500</v>
      </c>
      <c r="C30" s="4">
        <f>Scenarios!$C$22</f>
        <v>125559</v>
      </c>
      <c r="D30" s="5">
        <f>Scenarios!$C$24</f>
        <v>0.45454545454545453</v>
      </c>
      <c r="E30" t="str">
        <f>Scenarios!$C$26</f>
        <v>PROFITABLE</v>
      </c>
    </row>
    <row r="31" spans="1:5">
      <c r="A31" t="s">
        <v>28</v>
      </c>
      <c r="B31" s="4">
        <f>Scenarios!$D$20</f>
        <v>387</v>
      </c>
      <c r="C31" s="4">
        <f>Scenarios!$D$22</f>
        <v>357405</v>
      </c>
      <c r="D31" s="5">
        <f>Scenarios!$D$24</f>
        <v>0.25800000000000001</v>
      </c>
      <c r="E31" t="str">
        <f>Scenarios!$D$26</f>
        <v>PROFITABLE</v>
      </c>
    </row>
    <row r="34" spans="1:12" ht="21.95" customHeight="1">
      <c r="A34" s="61" t="s">
        <v>29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</row>
    <row r="35" spans="1:12">
      <c r="A35" s="62" t="str">
        <f>IF(J13="PROFITABLE","Base case is profitable. Protect price, variable cost, and sales ramp assumptions; monitor actual performance against the monthly plan.","Action required before approval: improve price, reduce variable cost, increase viable volume, or address the capacity gap.")</f>
        <v>Base case is profitable. Protect price, variable cost, and sales ramp assumptions; monitor actual performance against the monthly plan.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4"/>
    </row>
    <row r="36" spans="1:12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>
      <c r="A37" s="68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70"/>
    </row>
    <row r="43" spans="1:12" ht="15">
      <c r="A43" s="1" t="s">
        <v>21</v>
      </c>
      <c r="B43" s="1" t="s">
        <v>30</v>
      </c>
    </row>
    <row r="44" spans="1:12">
      <c r="A44" s="6" t="s">
        <v>26</v>
      </c>
      <c r="B44" s="7">
        <f>Scenarios!$B$22</f>
        <v>-101102</v>
      </c>
    </row>
    <row r="45" spans="1:12">
      <c r="A45" s="6" t="s">
        <v>27</v>
      </c>
      <c r="B45" s="7">
        <f>Scenarios!$C$22</f>
        <v>125559</v>
      </c>
    </row>
    <row r="46" spans="1:12">
      <c r="A46" s="6" t="s">
        <v>28</v>
      </c>
      <c r="B46" s="7">
        <f>Scenarios!$D$22</f>
        <v>357405</v>
      </c>
    </row>
  </sheetData>
  <mergeCells count="31">
    <mergeCell ref="A16:D16"/>
    <mergeCell ref="A27:E27"/>
    <mergeCell ref="A34:L34"/>
    <mergeCell ref="A35:L37"/>
    <mergeCell ref="J8:L8"/>
    <mergeCell ref="J9:L10"/>
    <mergeCell ref="A12:C12"/>
    <mergeCell ref="A13:C14"/>
    <mergeCell ref="D12:F12"/>
    <mergeCell ref="D13:F14"/>
    <mergeCell ref="G12:I12"/>
    <mergeCell ref="G13:I14"/>
    <mergeCell ref="J12:L12"/>
    <mergeCell ref="J13:L14"/>
    <mergeCell ref="A8:C8"/>
    <mergeCell ref="A9:C10"/>
    <mergeCell ref="D8:F8"/>
    <mergeCell ref="D9:F10"/>
    <mergeCell ref="G8:I8"/>
    <mergeCell ref="G9:I10"/>
    <mergeCell ref="A5:B5"/>
    <mergeCell ref="C5:D5"/>
    <mergeCell ref="E5:F5"/>
    <mergeCell ref="G5:H5"/>
    <mergeCell ref="A7:L7"/>
    <mergeCell ref="A4:B4"/>
    <mergeCell ref="C4:D4"/>
    <mergeCell ref="E4:F4"/>
    <mergeCell ref="G4:H4"/>
    <mergeCell ref="A1:L1"/>
    <mergeCell ref="A2:L2"/>
  </mergeCells>
  <conditionalFormatting sqref="E29:E31">
    <cfRule type="containsText" dxfId="14" priority="6" operator="containsText" text="PROFITABLE"/>
    <cfRule type="containsText" dxfId="13" priority="7" operator="containsText" text="CAPACITY GAP"/>
    <cfRule type="containsText" dxfId="12" priority="8" operator="containsText" text="BELOW"/>
  </conditionalFormatting>
  <conditionalFormatting sqref="G5">
    <cfRule type="containsText" dxfId="11" priority="1" operator="containsText" text="PASS"/>
    <cfRule type="containsText" dxfId="10" priority="2" operator="containsText" text="REVIEW"/>
  </conditionalFormatting>
  <conditionalFormatting sqref="J13">
    <cfRule type="containsText" dxfId="9" priority="3" operator="containsText" text="PROFITABLE"/>
    <cfRule type="containsText" dxfId="8" priority="4" operator="containsText" text="CAPACITY GAP"/>
    <cfRule type="containsText" dxfId="7" priority="5" operator="containsText" text="BELOW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9"/>
  <sheetViews>
    <sheetView showGridLines="0" workbookViewId="0">
      <selection activeCell="B5" sqref="B5"/>
    </sheetView>
  </sheetViews>
  <sheetFormatPr defaultRowHeight="14.25"/>
  <cols>
    <col min="1" max="1" width="34" customWidth="1"/>
    <col min="2" max="2" width="20" customWidth="1"/>
    <col min="3" max="3" width="4" customWidth="1"/>
    <col min="4" max="4" width="24" customWidth="1"/>
    <col min="5" max="6" width="22" customWidth="1"/>
    <col min="7" max="8" width="18" customWidth="1"/>
  </cols>
  <sheetData>
    <row r="1" spans="1:8" ht="30" customHeight="1">
      <c r="A1" s="47" t="s">
        <v>31</v>
      </c>
      <c r="B1" s="47"/>
      <c r="C1" s="47"/>
      <c r="D1" s="47"/>
      <c r="E1" s="47"/>
      <c r="F1" s="47"/>
      <c r="G1" s="47"/>
      <c r="H1" s="47"/>
    </row>
    <row r="2" spans="1:8" ht="20.100000000000001" customHeight="1">
      <c r="A2" s="48" t="s">
        <v>32</v>
      </c>
      <c r="B2" s="48"/>
      <c r="C2" s="48"/>
      <c r="D2" s="48"/>
      <c r="E2" s="48"/>
      <c r="F2" s="48"/>
      <c r="G2" s="48"/>
      <c r="H2" s="48"/>
    </row>
    <row r="3" spans="1:8">
      <c r="A3" s="8"/>
      <c r="B3" s="8"/>
      <c r="C3" s="8"/>
      <c r="D3" s="8"/>
      <c r="E3" s="8"/>
      <c r="F3" s="8"/>
      <c r="G3" s="8"/>
      <c r="H3" s="8"/>
    </row>
    <row r="4" spans="1:8" ht="21.95" customHeight="1">
      <c r="A4" s="61" t="s">
        <v>33</v>
      </c>
      <c r="B4" s="61"/>
      <c r="C4" s="8"/>
      <c r="D4" s="61" t="s">
        <v>34</v>
      </c>
      <c r="E4" s="61"/>
      <c r="F4" s="61"/>
      <c r="G4" s="61"/>
      <c r="H4" s="61"/>
    </row>
    <row r="5" spans="1:8" ht="28.5">
      <c r="A5" s="20" t="s">
        <v>35</v>
      </c>
      <c r="B5" s="21" t="s">
        <v>27</v>
      </c>
      <c r="C5" s="8"/>
      <c r="D5" s="22" t="s">
        <v>36</v>
      </c>
      <c r="E5" s="23" t="s">
        <v>37</v>
      </c>
      <c r="F5" s="8"/>
      <c r="G5" s="8"/>
      <c r="H5" s="8"/>
    </row>
    <row r="6" spans="1:8" ht="28.5">
      <c r="A6" s="20" t="s">
        <v>38</v>
      </c>
      <c r="B6" s="21" t="s">
        <v>39</v>
      </c>
      <c r="C6" s="8"/>
      <c r="D6" s="24" t="s">
        <v>40</v>
      </c>
      <c r="E6" s="23" t="s">
        <v>41</v>
      </c>
      <c r="F6" s="8"/>
      <c r="G6" s="8"/>
      <c r="H6" s="8"/>
    </row>
    <row r="7" spans="1:8" ht="15">
      <c r="A7" s="20" t="s">
        <v>42</v>
      </c>
      <c r="B7" s="25">
        <v>46023</v>
      </c>
      <c r="C7" s="8"/>
      <c r="D7" s="26" t="s">
        <v>43</v>
      </c>
      <c r="E7" s="23" t="s">
        <v>44</v>
      </c>
      <c r="F7" s="8"/>
      <c r="G7" s="8"/>
      <c r="H7" s="8"/>
    </row>
    <row r="8" spans="1:8" ht="28.5">
      <c r="A8" s="20" t="s">
        <v>45</v>
      </c>
      <c r="B8" s="21" t="s">
        <v>46</v>
      </c>
      <c r="C8" s="8"/>
      <c r="D8" s="27" t="s">
        <v>47</v>
      </c>
      <c r="E8" s="23" t="s">
        <v>48</v>
      </c>
      <c r="F8" s="8"/>
      <c r="G8" s="8"/>
      <c r="H8" s="8"/>
    </row>
    <row r="9" spans="1:8">
      <c r="A9" s="8"/>
      <c r="B9" s="8"/>
      <c r="C9" s="8"/>
      <c r="D9" s="8"/>
      <c r="E9" s="8"/>
      <c r="F9" s="8"/>
      <c r="G9" s="8"/>
      <c r="H9" s="8"/>
    </row>
    <row r="10" spans="1:8" ht="21.95" customHeight="1">
      <c r="A10" s="61" t="s">
        <v>49</v>
      </c>
      <c r="B10" s="61"/>
      <c r="C10" s="8"/>
      <c r="D10" s="79" t="s">
        <v>50</v>
      </c>
      <c r="E10" s="80"/>
      <c r="F10" s="80"/>
      <c r="G10" s="80"/>
      <c r="H10" s="81"/>
    </row>
    <row r="11" spans="1:8">
      <c r="A11" s="11" t="s">
        <v>51</v>
      </c>
      <c r="B11" s="28">
        <f>INDEX(Scenarios!$B$5:$D$5,1,MATCH($B$5,Scenarios!$B$4:$D$4,0))</f>
        <v>1000</v>
      </c>
      <c r="C11" s="8"/>
      <c r="D11" s="82"/>
      <c r="E11" s="83"/>
      <c r="F11" s="83"/>
      <c r="G11" s="83"/>
      <c r="H11" s="84"/>
    </row>
    <row r="12" spans="1:8">
      <c r="A12" s="11" t="s">
        <v>52</v>
      </c>
      <c r="B12" s="28">
        <f>INDEX(Scenarios!$B$6:$D$6,1,MATCH($B$5,Scenarios!$B$4:$D$4,0))</f>
        <v>600</v>
      </c>
      <c r="C12" s="8"/>
      <c r="D12" s="85"/>
      <c r="E12" s="86"/>
      <c r="F12" s="86"/>
      <c r="G12" s="86"/>
      <c r="H12" s="87"/>
    </row>
    <row r="13" spans="1:8">
      <c r="A13" s="11" t="s">
        <v>53</v>
      </c>
      <c r="B13" s="28">
        <f>INDEX(Scenarios!$B$7:$D$7,1,MATCH($B$5,Scenarios!$B$4:$D$4,0))</f>
        <v>200000</v>
      </c>
      <c r="C13" s="8"/>
      <c r="D13" s="8"/>
      <c r="E13" s="8"/>
      <c r="F13" s="8"/>
      <c r="G13" s="8"/>
      <c r="H13" s="8"/>
    </row>
    <row r="14" spans="1:8">
      <c r="A14" s="11" t="s">
        <v>54</v>
      </c>
      <c r="B14" s="28">
        <f>INDEX(Scenarios!$B$8:$D$8,1,MATCH($B$5,Scenarios!$B$4:$D$4,0))</f>
        <v>650</v>
      </c>
      <c r="C14" s="8"/>
      <c r="D14" s="8"/>
      <c r="E14" s="8"/>
      <c r="F14" s="8"/>
      <c r="G14" s="8"/>
      <c r="H14" s="8"/>
    </row>
    <row r="15" spans="1:8">
      <c r="A15" s="11" t="s">
        <v>55</v>
      </c>
      <c r="B15" s="29">
        <f>INDEX(Scenarios!$B$9:$D$9,1,MATCH($B$5,Scenarios!$B$4:$D$4,0))</f>
        <v>0.04</v>
      </c>
      <c r="C15" s="8"/>
      <c r="D15" s="8"/>
      <c r="E15" s="8"/>
      <c r="F15" s="8"/>
      <c r="G15" s="8"/>
      <c r="H15" s="8"/>
    </row>
    <row r="16" spans="1:8">
      <c r="A16" s="11" t="s">
        <v>56</v>
      </c>
      <c r="B16" s="28">
        <f>INDEX(Scenarios!$B$10:$D$10,1,MATCH($B$5,Scenarios!$B$4:$D$4,0))</f>
        <v>1100</v>
      </c>
      <c r="C16" s="8"/>
      <c r="D16" s="8"/>
      <c r="E16" s="8"/>
      <c r="F16" s="8"/>
      <c r="G16" s="8"/>
      <c r="H16" s="8"/>
    </row>
    <row r="17" spans="1:8">
      <c r="A17" s="11" t="s">
        <v>57</v>
      </c>
      <c r="B17" s="28">
        <f>INDEX(Scenarios!$B$11:$D$11,1,MATCH($B$5,Scenarios!$B$4:$D$4,0))</f>
        <v>100000</v>
      </c>
      <c r="C17" s="8"/>
      <c r="D17" s="8"/>
      <c r="E17" s="8"/>
      <c r="F17" s="8"/>
      <c r="G17" s="8"/>
      <c r="H17" s="8"/>
    </row>
    <row r="18" spans="1:8">
      <c r="A18" s="11" t="s">
        <v>58</v>
      </c>
      <c r="B18" s="28">
        <f>INDEX(Scenarios!$B$12:$D$12,1,MATCH($B$5,Scenarios!$B$4:$D$4,0))</f>
        <v>500000</v>
      </c>
      <c r="C18" s="8"/>
      <c r="D18" s="8"/>
      <c r="E18" s="8"/>
      <c r="F18" s="8"/>
      <c r="G18" s="8"/>
      <c r="H18" s="8"/>
    </row>
    <row r="19" spans="1:8">
      <c r="A19" s="11" t="s">
        <v>59</v>
      </c>
      <c r="B19" s="28">
        <f>INDEX(Scenarios!$B$13:$D$13,1,MATCH($B$5,Scenarios!$B$4:$D$4,0))</f>
        <v>150000</v>
      </c>
      <c r="C19" s="8"/>
      <c r="D19" s="8"/>
      <c r="E19" s="8"/>
      <c r="F19" s="8"/>
      <c r="G19" s="8"/>
      <c r="H19" s="8"/>
    </row>
  </sheetData>
  <mergeCells count="6">
    <mergeCell ref="A1:H1"/>
    <mergeCell ref="A2:H2"/>
    <mergeCell ref="A4:B4"/>
    <mergeCell ref="A10:B10"/>
    <mergeCell ref="D4:H4"/>
    <mergeCell ref="D10:H12"/>
  </mergeCells>
  <dataValidations count="1">
    <dataValidation type="list" sqref="B5" xr:uid="{00000000-0002-0000-0100-000000000000}">
      <formula1>"Downside,Base Case,Upside"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6"/>
  <sheetViews>
    <sheetView showGridLines="0" workbookViewId="0">
      <selection activeCell="F21" sqref="F21"/>
    </sheetView>
  </sheetViews>
  <sheetFormatPr defaultRowHeight="14.25"/>
  <cols>
    <col min="1" max="1" width="34" customWidth="1"/>
    <col min="2" max="4" width="16" customWidth="1"/>
    <col min="5" max="5" width="3" customWidth="1"/>
    <col min="6" max="8" width="20" customWidth="1"/>
    <col min="9" max="10" width="18" customWidth="1"/>
  </cols>
  <sheetData>
    <row r="1" spans="1:10" ht="30" customHeight="1">
      <c r="A1" s="47" t="s">
        <v>60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20.100000000000001" customHeight="1">
      <c r="A2" s="48" t="s">
        <v>61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21.95" customHeight="1">
      <c r="A3" s="61" t="s">
        <v>62</v>
      </c>
      <c r="B3" s="61"/>
      <c r="C3" s="61"/>
      <c r="D3" s="61"/>
      <c r="E3" s="8"/>
      <c r="F3" s="61" t="s">
        <v>63</v>
      </c>
      <c r="G3" s="61"/>
      <c r="H3" s="61"/>
      <c r="I3" s="61"/>
      <c r="J3" s="61"/>
    </row>
    <row r="4" spans="1:10" ht="15">
      <c r="A4" s="9" t="s">
        <v>64</v>
      </c>
      <c r="B4" s="9" t="s">
        <v>26</v>
      </c>
      <c r="C4" s="9" t="s">
        <v>27</v>
      </c>
      <c r="D4" s="9" t="s">
        <v>28</v>
      </c>
      <c r="E4" s="8"/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</row>
    <row r="5" spans="1:10" ht="33" customHeight="1">
      <c r="A5" s="11" t="s">
        <v>51</v>
      </c>
      <c r="B5" s="12">
        <v>900</v>
      </c>
      <c r="C5" s="12">
        <v>1000</v>
      </c>
      <c r="D5" s="12">
        <v>1100</v>
      </c>
      <c r="E5" s="8"/>
      <c r="F5" s="13" t="s">
        <v>70</v>
      </c>
      <c r="G5" s="13" t="s">
        <v>71</v>
      </c>
      <c r="H5" s="13" t="s">
        <v>72</v>
      </c>
      <c r="I5" s="13" t="s">
        <v>73</v>
      </c>
      <c r="J5" s="13" t="s">
        <v>74</v>
      </c>
    </row>
    <row r="6" spans="1:10" ht="33" customHeight="1">
      <c r="A6" s="11" t="s">
        <v>52</v>
      </c>
      <c r="B6" s="12">
        <v>650</v>
      </c>
      <c r="C6" s="12">
        <v>600</v>
      </c>
      <c r="D6" s="12">
        <v>570</v>
      </c>
      <c r="E6" s="8"/>
      <c r="F6" s="13" t="s">
        <v>75</v>
      </c>
      <c r="G6" s="13" t="s">
        <v>76</v>
      </c>
      <c r="H6" s="13" t="s">
        <v>77</v>
      </c>
      <c r="I6" s="13" t="s">
        <v>73</v>
      </c>
      <c r="J6" s="13" t="s">
        <v>74</v>
      </c>
    </row>
    <row r="7" spans="1:10" ht="33" customHeight="1">
      <c r="A7" s="11" t="s">
        <v>53</v>
      </c>
      <c r="B7" s="12">
        <v>220000</v>
      </c>
      <c r="C7" s="12">
        <v>200000</v>
      </c>
      <c r="D7" s="12">
        <v>205000</v>
      </c>
      <c r="E7" s="8"/>
      <c r="F7" s="13" t="s">
        <v>19</v>
      </c>
      <c r="G7" s="13" t="s">
        <v>78</v>
      </c>
      <c r="H7" s="13" t="s">
        <v>79</v>
      </c>
      <c r="I7" s="13" t="s">
        <v>73</v>
      </c>
      <c r="J7" s="13" t="s">
        <v>74</v>
      </c>
    </row>
    <row r="8" spans="1:10" ht="33" customHeight="1">
      <c r="A8" s="11" t="s">
        <v>54</v>
      </c>
      <c r="B8" s="12">
        <v>450</v>
      </c>
      <c r="C8" s="12">
        <v>650</v>
      </c>
      <c r="D8" s="12">
        <v>800</v>
      </c>
      <c r="E8" s="8"/>
      <c r="F8" s="13" t="s">
        <v>80</v>
      </c>
      <c r="G8" s="13" t="s">
        <v>81</v>
      </c>
      <c r="H8" s="13" t="s">
        <v>72</v>
      </c>
      <c r="I8" s="13" t="s">
        <v>73</v>
      </c>
      <c r="J8" s="13" t="s">
        <v>74</v>
      </c>
    </row>
    <row r="9" spans="1:10" ht="33" customHeight="1">
      <c r="A9" s="11" t="s">
        <v>55</v>
      </c>
      <c r="B9" s="14">
        <v>0.01</v>
      </c>
      <c r="C9" s="14">
        <v>0.04</v>
      </c>
      <c r="D9" s="14">
        <v>0.05</v>
      </c>
      <c r="E9" s="8"/>
      <c r="F9" s="13" t="s">
        <v>82</v>
      </c>
      <c r="G9" s="13" t="s">
        <v>83</v>
      </c>
      <c r="H9" s="13" t="s">
        <v>77</v>
      </c>
      <c r="I9" s="13" t="s">
        <v>73</v>
      </c>
      <c r="J9" s="13" t="s">
        <v>74</v>
      </c>
    </row>
    <row r="10" spans="1:10">
      <c r="A10" s="11" t="s">
        <v>56</v>
      </c>
      <c r="B10" s="12">
        <v>1000</v>
      </c>
      <c r="C10" s="12">
        <v>1100</v>
      </c>
      <c r="D10" s="12">
        <v>1500</v>
      </c>
      <c r="E10" s="8"/>
      <c r="F10" s="8"/>
      <c r="G10" s="8"/>
      <c r="H10" s="8"/>
      <c r="I10" s="8"/>
      <c r="J10" s="8"/>
    </row>
    <row r="11" spans="1:10">
      <c r="A11" s="11" t="s">
        <v>57</v>
      </c>
      <c r="B11" s="12">
        <v>50000</v>
      </c>
      <c r="C11" s="12">
        <v>100000</v>
      </c>
      <c r="D11" s="12">
        <v>150000</v>
      </c>
      <c r="E11" s="8"/>
      <c r="F11" s="8"/>
      <c r="G11" s="8"/>
      <c r="H11" s="8"/>
      <c r="I11" s="8"/>
      <c r="J11" s="8"/>
    </row>
    <row r="12" spans="1:10">
      <c r="A12" s="11" t="s">
        <v>58</v>
      </c>
      <c r="B12" s="12">
        <v>550000</v>
      </c>
      <c r="C12" s="12">
        <v>500000</v>
      </c>
      <c r="D12" s="12">
        <v>500000</v>
      </c>
      <c r="E12" s="8"/>
      <c r="F12" s="8"/>
      <c r="G12" s="8"/>
      <c r="H12" s="8"/>
      <c r="I12" s="8"/>
      <c r="J12" s="8"/>
    </row>
    <row r="13" spans="1:10">
      <c r="A13" s="11" t="s">
        <v>59</v>
      </c>
      <c r="B13" s="12">
        <v>200000</v>
      </c>
      <c r="C13" s="12">
        <v>150000</v>
      </c>
      <c r="D13" s="12">
        <v>150000</v>
      </c>
      <c r="E13" s="8"/>
      <c r="F13" s="8"/>
      <c r="G13" s="8"/>
      <c r="H13" s="8"/>
      <c r="I13" s="8"/>
      <c r="J13" s="8"/>
    </row>
    <row r="14" spans="1:10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21.95" customHeight="1">
      <c r="A15" s="61" t="s">
        <v>84</v>
      </c>
      <c r="B15" s="61"/>
      <c r="C15" s="61"/>
      <c r="D15" s="61"/>
      <c r="E15" s="8"/>
      <c r="F15" s="8"/>
      <c r="G15" s="8"/>
      <c r="H15" s="8"/>
      <c r="I15" s="8"/>
      <c r="J15" s="8"/>
    </row>
    <row r="16" spans="1:10" ht="15">
      <c r="A16" s="15" t="s">
        <v>85</v>
      </c>
      <c r="B16" s="15" t="s">
        <v>26</v>
      </c>
      <c r="C16" s="15" t="s">
        <v>27</v>
      </c>
      <c r="D16" s="15" t="s">
        <v>28</v>
      </c>
      <c r="E16" s="8"/>
      <c r="F16" s="8"/>
      <c r="G16" s="8"/>
      <c r="H16" s="8"/>
      <c r="I16" s="8"/>
      <c r="J16" s="8"/>
    </row>
    <row r="17" spans="1:10">
      <c r="A17" s="11" t="s">
        <v>86</v>
      </c>
      <c r="B17" s="16">
        <f>B5-B6</f>
        <v>250</v>
      </c>
      <c r="C17" s="16">
        <f>C5-C6</f>
        <v>400</v>
      </c>
      <c r="D17" s="16">
        <f>D5-D6</f>
        <v>530</v>
      </c>
      <c r="E17" s="8"/>
      <c r="F17" s="8"/>
      <c r="G17" s="8"/>
      <c r="H17" s="8"/>
      <c r="I17" s="8"/>
      <c r="J17" s="8"/>
    </row>
    <row r="18" spans="1:10">
      <c r="A18" s="11" t="s">
        <v>87</v>
      </c>
      <c r="B18" s="17">
        <f>IFERROR(B17/B5,0)</f>
        <v>0.27777777777777779</v>
      </c>
      <c r="C18" s="17">
        <f>IFERROR(C17/C5,0)</f>
        <v>0.4</v>
      </c>
      <c r="D18" s="17">
        <f>IFERROR(D17/D5,0)</f>
        <v>0.48181818181818181</v>
      </c>
      <c r="E18" s="8"/>
      <c r="F18" s="8"/>
      <c r="G18" s="8"/>
      <c r="H18" s="8"/>
      <c r="I18" s="8"/>
      <c r="J18" s="8"/>
    </row>
    <row r="19" spans="1:10">
      <c r="A19" s="11" t="s">
        <v>88</v>
      </c>
      <c r="B19" s="16">
        <f>IF(B9=0,B8,B8*(((1+B9)^12-1)/(B9*12)))</f>
        <v>475.59386299488665</v>
      </c>
      <c r="C19" s="16">
        <f>IF(C9=0,C8,C8*(((1+C9)^12-1)/(C9*12)))</f>
        <v>813.89779597706899</v>
      </c>
      <c r="D19" s="16">
        <f>IF(D9=0,D8,D8*(((1+D9)^12-1)/(D9*12)))</f>
        <v>1061.1417680295053</v>
      </c>
      <c r="E19" s="8"/>
      <c r="F19" s="8"/>
      <c r="G19" s="8"/>
      <c r="H19" s="8"/>
      <c r="I19" s="8"/>
      <c r="J19" s="8"/>
    </row>
    <row r="20" spans="1:10">
      <c r="A20" s="11" t="s">
        <v>89</v>
      </c>
      <c r="B20" s="16">
        <f>IF(B17&lt;=0,"N/A",ROUNDUP(B7/B17,0))</f>
        <v>880</v>
      </c>
      <c r="C20" s="16">
        <f>IF(C17&lt;=0,"N/A",ROUNDUP(C7/C17,0))</f>
        <v>500</v>
      </c>
      <c r="D20" s="16">
        <f>IF(D17&lt;=0,"N/A",ROUNDUP(D7/D17,0))</f>
        <v>387</v>
      </c>
      <c r="E20" s="8"/>
      <c r="F20" s="8"/>
      <c r="G20" s="8"/>
      <c r="H20" s="8"/>
      <c r="I20" s="8"/>
      <c r="J20" s="8"/>
    </row>
    <row r="21" spans="1:10">
      <c r="A21" s="11" t="s">
        <v>90</v>
      </c>
      <c r="B21" s="16">
        <f>IF(B18&lt;=0,"N/A",ROUND(B7/B18,0))</f>
        <v>792000</v>
      </c>
      <c r="C21" s="16">
        <f>IF(C18&lt;=0,"N/A",ROUND(C7/C18,0))</f>
        <v>500000</v>
      </c>
      <c r="D21" s="16">
        <f>IF(D18&lt;=0,"N/A",ROUND(D7/D18,0))</f>
        <v>425472</v>
      </c>
      <c r="E21" s="8"/>
      <c r="F21" s="8"/>
      <c r="G21" s="8"/>
      <c r="H21" s="8"/>
      <c r="I21" s="8"/>
      <c r="J21" s="8"/>
    </row>
    <row r="22" spans="1:10">
      <c r="A22" s="11" t="s">
        <v>91</v>
      </c>
      <c r="B22" s="16">
        <f>ROUND(B19*B17-B7,0)</f>
        <v>-101102</v>
      </c>
      <c r="C22" s="16">
        <f>ROUND(C19*C17-C7,0)</f>
        <v>125559</v>
      </c>
      <c r="D22" s="16">
        <f>ROUND(D19*D17-D7,0)</f>
        <v>357405</v>
      </c>
      <c r="E22" s="8"/>
      <c r="F22" s="8"/>
      <c r="G22" s="8"/>
      <c r="H22" s="8"/>
      <c r="I22" s="8"/>
      <c r="J22" s="8"/>
    </row>
    <row r="23" spans="1:10">
      <c r="A23" s="11" t="s">
        <v>92</v>
      </c>
      <c r="B23" s="17">
        <f>IFERROR((B19-B20)/B19,0)</f>
        <v>-0.85031824098508468</v>
      </c>
      <c r="C23" s="17">
        <f>IFERROR((C19-C20)/C19,0)</f>
        <v>0.38567225212870937</v>
      </c>
      <c r="D23" s="17">
        <f>IFERROR((D19-D20)/D19,0)</f>
        <v>0.63529849482916656</v>
      </c>
      <c r="E23" s="8"/>
      <c r="F23" s="8"/>
      <c r="G23" s="8"/>
      <c r="H23" s="8"/>
      <c r="I23" s="8"/>
      <c r="J23" s="8"/>
    </row>
    <row r="24" spans="1:10">
      <c r="A24" s="11" t="s">
        <v>93</v>
      </c>
      <c r="B24" s="17">
        <f>IFERROR(B20/B10,0)</f>
        <v>0.88</v>
      </c>
      <c r="C24" s="17">
        <f>IFERROR(C20/C10,0)</f>
        <v>0.45454545454545453</v>
      </c>
      <c r="D24" s="17">
        <f>IFERROR(D20/D10,0)</f>
        <v>0.25800000000000001</v>
      </c>
      <c r="E24" s="8"/>
      <c r="F24" s="8"/>
      <c r="G24" s="8"/>
      <c r="H24" s="8"/>
      <c r="I24" s="8"/>
      <c r="J24" s="8"/>
    </row>
    <row r="25" spans="1:10">
      <c r="A25" s="11" t="s">
        <v>94</v>
      </c>
      <c r="B25" s="18" t="str">
        <f>IF(B22&lt;=0,"N/A",(B12+B13)/B22)</f>
        <v>N/A</v>
      </c>
      <c r="C25" s="46">
        <f>IF(C22&lt;=0,"N/A",(C12+C13)/C22)</f>
        <v>5.1768491306875655</v>
      </c>
      <c r="D25" s="18">
        <f>IF(D22&lt;=0,"N/A",(D12+D13)/D22)</f>
        <v>1.8186650998167344</v>
      </c>
      <c r="E25" s="8"/>
      <c r="F25" s="8"/>
      <c r="G25" s="8"/>
      <c r="H25" s="8"/>
      <c r="I25" s="8"/>
      <c r="J25" s="8"/>
    </row>
    <row r="26" spans="1:10">
      <c r="A26" s="11" t="s">
        <v>95</v>
      </c>
      <c r="B26" s="19" t="str">
        <f>IF(B17&lt;=0,"NEGATIVE CONTRIBUTION",IF(B20&gt;B10,"CAPACITY GAP",IF(B22&gt;=0,"PROFITABLE","BELOW B/E")))</f>
        <v>BELOW B/E</v>
      </c>
      <c r="C26" s="19" t="str">
        <f>IF(C17&lt;=0,"NEGATIVE CONTRIBUTION",IF(C20&gt;C10,"CAPACITY GAP",IF(C22&gt;=0,"PROFITABLE","BELOW B/E")))</f>
        <v>PROFITABLE</v>
      </c>
      <c r="D26" s="19" t="str">
        <f>IF(D17&lt;=0,"NEGATIVE CONTRIBUTION",IF(D20&gt;D10,"CAPACITY GAP",IF(D22&gt;=0,"PROFITABLE","BELOW B/E")))</f>
        <v>PROFITABLE</v>
      </c>
      <c r="E26" s="8"/>
      <c r="F26" s="8"/>
      <c r="G26" s="8"/>
      <c r="H26" s="8"/>
      <c r="I26" s="8"/>
      <c r="J26" s="8"/>
    </row>
  </sheetData>
  <mergeCells count="5">
    <mergeCell ref="A1:J1"/>
    <mergeCell ref="A2:J2"/>
    <mergeCell ref="A3:D3"/>
    <mergeCell ref="A15:D15"/>
    <mergeCell ref="F3:J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1"/>
  <sheetViews>
    <sheetView showGridLines="0" tabSelected="1" zoomScale="101" workbookViewId="0">
      <selection activeCell="D25" sqref="D25"/>
    </sheetView>
  </sheetViews>
  <sheetFormatPr defaultRowHeight="14.25"/>
  <cols>
    <col min="1" max="1" width="34" customWidth="1"/>
    <col min="2" max="13" width="14" customWidth="1"/>
  </cols>
  <sheetData>
    <row r="1" spans="1:13" ht="30" customHeight="1">
      <c r="A1" s="47" t="s">
        <v>96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20.100000000000001" customHeight="1">
      <c r="A2" s="48" t="s">
        <v>97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>
      <c r="A4" s="30" t="s">
        <v>98</v>
      </c>
      <c r="B4" s="31">
        <f>Inputs!$B$7</f>
        <v>46023</v>
      </c>
      <c r="C4" s="31">
        <f t="shared" ref="C4:M4" si="0">EDATE(B4,1)</f>
        <v>46054</v>
      </c>
      <c r="D4" s="31">
        <f t="shared" si="0"/>
        <v>46082</v>
      </c>
      <c r="E4" s="31">
        <f t="shared" si="0"/>
        <v>46113</v>
      </c>
      <c r="F4" s="31">
        <f t="shared" si="0"/>
        <v>46143</v>
      </c>
      <c r="G4" s="31">
        <f t="shared" si="0"/>
        <v>46174</v>
      </c>
      <c r="H4" s="31">
        <f t="shared" si="0"/>
        <v>46204</v>
      </c>
      <c r="I4" s="31">
        <f t="shared" si="0"/>
        <v>46235</v>
      </c>
      <c r="J4" s="31">
        <f t="shared" si="0"/>
        <v>46266</v>
      </c>
      <c r="K4" s="31">
        <f t="shared" si="0"/>
        <v>46296</v>
      </c>
      <c r="L4" s="31">
        <f t="shared" si="0"/>
        <v>46327</v>
      </c>
      <c r="M4" s="31">
        <f t="shared" si="0"/>
        <v>46357</v>
      </c>
    </row>
    <row r="5" spans="1:13" ht="15">
      <c r="A5" s="30" t="s">
        <v>99</v>
      </c>
      <c r="B5" s="32">
        <v>1</v>
      </c>
      <c r="C5" s="32">
        <v>2</v>
      </c>
      <c r="D5" s="32">
        <v>3</v>
      </c>
      <c r="E5" s="32">
        <v>4</v>
      </c>
      <c r="F5" s="32">
        <v>5</v>
      </c>
      <c r="G5" s="32">
        <v>6</v>
      </c>
      <c r="H5" s="32">
        <v>7</v>
      </c>
      <c r="I5" s="32">
        <v>8</v>
      </c>
      <c r="J5" s="32">
        <v>9</v>
      </c>
      <c r="K5" s="32">
        <v>10</v>
      </c>
      <c r="L5" s="32">
        <v>11</v>
      </c>
      <c r="M5" s="32">
        <v>12</v>
      </c>
    </row>
    <row r="6" spans="1:13" ht="15">
      <c r="A6" s="30" t="s">
        <v>100</v>
      </c>
      <c r="B6" s="16">
        <f>ROUND(Inputs!$B$14*(1+Inputs!$B$15)^(B$5-1),0)</f>
        <v>650</v>
      </c>
      <c r="C6" s="16">
        <f>ROUND(Inputs!$B$14*(1+Inputs!$B$15)^(C$5-1),0)</f>
        <v>676</v>
      </c>
      <c r="D6" s="16">
        <f>ROUND(Inputs!$B$14*(1+Inputs!$B$15)^(D$5-1),0)</f>
        <v>703</v>
      </c>
      <c r="E6" s="16">
        <f>ROUND(Inputs!$B$14*(1+Inputs!$B$15)^(E$5-1),0)</f>
        <v>731</v>
      </c>
      <c r="F6" s="16">
        <f>ROUND(Inputs!$B$14*(1+Inputs!$B$15)^(F$5-1),0)</f>
        <v>760</v>
      </c>
      <c r="G6" s="16">
        <f>ROUND(Inputs!$B$14*(1+Inputs!$B$15)^(G$5-1),0)</f>
        <v>791</v>
      </c>
      <c r="H6" s="16">
        <f>ROUND(Inputs!$B$14*(1+Inputs!$B$15)^(H$5-1),0)</f>
        <v>822</v>
      </c>
      <c r="I6" s="16">
        <f>ROUND(Inputs!$B$14*(1+Inputs!$B$15)^(I$5-1),0)</f>
        <v>855</v>
      </c>
      <c r="J6" s="16">
        <f>ROUND(Inputs!$B$14*(1+Inputs!$B$15)^(J$5-1),0)</f>
        <v>890</v>
      </c>
      <c r="K6" s="16">
        <f>ROUND(Inputs!$B$14*(1+Inputs!$B$15)^(K$5-1),0)</f>
        <v>925</v>
      </c>
      <c r="L6" s="16">
        <f>ROUND(Inputs!$B$14*(1+Inputs!$B$15)^(L$5-1),0)</f>
        <v>962</v>
      </c>
      <c r="M6" s="16">
        <f>ROUND(Inputs!$B$14*(1+Inputs!$B$15)^(M$5-1),0)</f>
        <v>1001</v>
      </c>
    </row>
    <row r="7" spans="1:13" ht="15">
      <c r="A7" s="30" t="s">
        <v>82</v>
      </c>
      <c r="B7" s="16">
        <f>Inputs!$B$16</f>
        <v>1100</v>
      </c>
      <c r="C7" s="16">
        <f>Inputs!$B$16</f>
        <v>1100</v>
      </c>
      <c r="D7" s="16">
        <f>Inputs!$B$16</f>
        <v>1100</v>
      </c>
      <c r="E7" s="16">
        <f>Inputs!$B$16</f>
        <v>1100</v>
      </c>
      <c r="F7" s="16">
        <f>Inputs!$B$16</f>
        <v>1100</v>
      </c>
      <c r="G7" s="16">
        <f>Inputs!$B$16</f>
        <v>1100</v>
      </c>
      <c r="H7" s="16">
        <f>Inputs!$B$16</f>
        <v>1100</v>
      </c>
      <c r="I7" s="16">
        <f>Inputs!$B$16</f>
        <v>1100</v>
      </c>
      <c r="J7" s="16">
        <f>Inputs!$B$16</f>
        <v>1100</v>
      </c>
      <c r="K7" s="16">
        <f>Inputs!$B$16</f>
        <v>1100</v>
      </c>
      <c r="L7" s="16">
        <f>Inputs!$B$16</f>
        <v>1100</v>
      </c>
      <c r="M7" s="16">
        <f>Inputs!$B$16</f>
        <v>1100</v>
      </c>
    </row>
    <row r="8" spans="1:13" ht="15">
      <c r="A8" s="30" t="s">
        <v>101</v>
      </c>
      <c r="B8" s="17">
        <f t="shared" ref="B8:M8" si="1">IFERROR(B6/B7,0)</f>
        <v>0.59090909090909094</v>
      </c>
      <c r="C8" s="17">
        <f t="shared" si="1"/>
        <v>0.61454545454545451</v>
      </c>
      <c r="D8" s="17">
        <f t="shared" si="1"/>
        <v>0.63909090909090904</v>
      </c>
      <c r="E8" s="17">
        <f t="shared" si="1"/>
        <v>0.66454545454545455</v>
      </c>
      <c r="F8" s="17">
        <f t="shared" si="1"/>
        <v>0.69090909090909092</v>
      </c>
      <c r="G8" s="17">
        <f t="shared" si="1"/>
        <v>0.71909090909090911</v>
      </c>
      <c r="H8" s="17">
        <f t="shared" si="1"/>
        <v>0.74727272727272731</v>
      </c>
      <c r="I8" s="17">
        <f t="shared" si="1"/>
        <v>0.77727272727272723</v>
      </c>
      <c r="J8" s="17">
        <f t="shared" si="1"/>
        <v>0.80909090909090908</v>
      </c>
      <c r="K8" s="17">
        <f t="shared" si="1"/>
        <v>0.84090909090909094</v>
      </c>
      <c r="L8" s="17">
        <f t="shared" si="1"/>
        <v>0.87454545454545451</v>
      </c>
      <c r="M8" s="17">
        <f t="shared" si="1"/>
        <v>0.91</v>
      </c>
    </row>
    <row r="9" spans="1:13" ht="15">
      <c r="A9" s="30" t="s">
        <v>102</v>
      </c>
      <c r="B9" s="16">
        <f>Inputs!$B$11</f>
        <v>1000</v>
      </c>
      <c r="C9" s="16">
        <f>Inputs!$B$11</f>
        <v>1000</v>
      </c>
      <c r="D9" s="16">
        <f>Inputs!$B$11</f>
        <v>1000</v>
      </c>
      <c r="E9" s="16">
        <f>Inputs!$B$11</f>
        <v>1000</v>
      </c>
      <c r="F9" s="16">
        <f>Inputs!$B$11</f>
        <v>1000</v>
      </c>
      <c r="G9" s="16">
        <f>Inputs!$B$11</f>
        <v>1000</v>
      </c>
      <c r="H9" s="16">
        <f>Inputs!$B$11</f>
        <v>1000</v>
      </c>
      <c r="I9" s="16">
        <f>Inputs!$B$11</f>
        <v>1000</v>
      </c>
      <c r="J9" s="16">
        <f>Inputs!$B$11</f>
        <v>1000</v>
      </c>
      <c r="K9" s="16">
        <f>Inputs!$B$11</f>
        <v>1000</v>
      </c>
      <c r="L9" s="16">
        <f>Inputs!$B$11</f>
        <v>1000</v>
      </c>
      <c r="M9" s="16">
        <f>Inputs!$B$11</f>
        <v>1000</v>
      </c>
    </row>
    <row r="10" spans="1:13" ht="15">
      <c r="A10" s="30" t="s">
        <v>103</v>
      </c>
      <c r="B10" s="16">
        <f>Inputs!$B$12</f>
        <v>600</v>
      </c>
      <c r="C10" s="16">
        <f>Inputs!$B$12</f>
        <v>600</v>
      </c>
      <c r="D10" s="16">
        <f>Inputs!$B$12</f>
        <v>600</v>
      </c>
      <c r="E10" s="16">
        <f>Inputs!$B$12</f>
        <v>600</v>
      </c>
      <c r="F10" s="16">
        <f>Inputs!$B$12</f>
        <v>600</v>
      </c>
      <c r="G10" s="16">
        <f>Inputs!$B$12</f>
        <v>600</v>
      </c>
      <c r="H10" s="16">
        <f>Inputs!$B$12</f>
        <v>600</v>
      </c>
      <c r="I10" s="16">
        <f>Inputs!$B$12</f>
        <v>600</v>
      </c>
      <c r="J10" s="16">
        <f>Inputs!$B$12</f>
        <v>600</v>
      </c>
      <c r="K10" s="16">
        <f>Inputs!$B$12</f>
        <v>600</v>
      </c>
      <c r="L10" s="16">
        <f>Inputs!$B$12</f>
        <v>600</v>
      </c>
      <c r="M10" s="16">
        <f>Inputs!$B$12</f>
        <v>600</v>
      </c>
    </row>
    <row r="11" spans="1:13" ht="15">
      <c r="A11" s="30" t="s">
        <v>104</v>
      </c>
      <c r="B11" s="16">
        <f t="shared" ref="B11:M11" si="2">B9-B10</f>
        <v>400</v>
      </c>
      <c r="C11" s="16">
        <f t="shared" si="2"/>
        <v>400</v>
      </c>
      <c r="D11" s="16">
        <f t="shared" si="2"/>
        <v>400</v>
      </c>
      <c r="E11" s="16">
        <f t="shared" si="2"/>
        <v>400</v>
      </c>
      <c r="F11" s="16">
        <f t="shared" si="2"/>
        <v>400</v>
      </c>
      <c r="G11" s="16">
        <f t="shared" si="2"/>
        <v>400</v>
      </c>
      <c r="H11" s="16">
        <f t="shared" si="2"/>
        <v>400</v>
      </c>
      <c r="I11" s="16">
        <f t="shared" si="2"/>
        <v>400</v>
      </c>
      <c r="J11" s="16">
        <f t="shared" si="2"/>
        <v>400</v>
      </c>
      <c r="K11" s="16">
        <f t="shared" si="2"/>
        <v>400</v>
      </c>
      <c r="L11" s="16">
        <f t="shared" si="2"/>
        <v>400</v>
      </c>
      <c r="M11" s="16">
        <f t="shared" si="2"/>
        <v>400</v>
      </c>
    </row>
    <row r="12" spans="1:13" ht="15">
      <c r="A12" s="30" t="s">
        <v>17</v>
      </c>
      <c r="B12" s="16">
        <f t="shared" ref="B12:M12" si="3">B6*B9</f>
        <v>650000</v>
      </c>
      <c r="C12" s="16">
        <f t="shared" si="3"/>
        <v>676000</v>
      </c>
      <c r="D12" s="16">
        <f t="shared" si="3"/>
        <v>703000</v>
      </c>
      <c r="E12" s="16">
        <f t="shared" si="3"/>
        <v>731000</v>
      </c>
      <c r="F12" s="16">
        <f t="shared" si="3"/>
        <v>760000</v>
      </c>
      <c r="G12" s="16">
        <f t="shared" si="3"/>
        <v>791000</v>
      </c>
      <c r="H12" s="16">
        <f t="shared" si="3"/>
        <v>822000</v>
      </c>
      <c r="I12" s="16">
        <f t="shared" si="3"/>
        <v>855000</v>
      </c>
      <c r="J12" s="16">
        <f t="shared" si="3"/>
        <v>890000</v>
      </c>
      <c r="K12" s="16">
        <f t="shared" si="3"/>
        <v>925000</v>
      </c>
      <c r="L12" s="16">
        <f t="shared" si="3"/>
        <v>962000</v>
      </c>
      <c r="M12" s="16">
        <f t="shared" si="3"/>
        <v>1001000</v>
      </c>
    </row>
    <row r="13" spans="1:13" ht="15">
      <c r="A13" s="30" t="s">
        <v>105</v>
      </c>
      <c r="B13" s="16">
        <f t="shared" ref="B13:M13" si="4">B6*B10</f>
        <v>390000</v>
      </c>
      <c r="C13" s="16">
        <f t="shared" si="4"/>
        <v>405600</v>
      </c>
      <c r="D13" s="16">
        <f t="shared" si="4"/>
        <v>421800</v>
      </c>
      <c r="E13" s="16">
        <f t="shared" si="4"/>
        <v>438600</v>
      </c>
      <c r="F13" s="16">
        <f t="shared" si="4"/>
        <v>456000</v>
      </c>
      <c r="G13" s="16">
        <f t="shared" si="4"/>
        <v>474600</v>
      </c>
      <c r="H13" s="16">
        <f t="shared" si="4"/>
        <v>493200</v>
      </c>
      <c r="I13" s="16">
        <f t="shared" si="4"/>
        <v>513000</v>
      </c>
      <c r="J13" s="16">
        <f t="shared" si="4"/>
        <v>534000</v>
      </c>
      <c r="K13" s="16">
        <f t="shared" si="4"/>
        <v>555000</v>
      </c>
      <c r="L13" s="16">
        <f t="shared" si="4"/>
        <v>577200</v>
      </c>
      <c r="M13" s="16">
        <f t="shared" si="4"/>
        <v>600600</v>
      </c>
    </row>
    <row r="14" spans="1:13" ht="15">
      <c r="A14" s="30" t="s">
        <v>106</v>
      </c>
      <c r="B14" s="16">
        <f>Inputs!$B$13</f>
        <v>200000</v>
      </c>
      <c r="C14" s="16">
        <f>Inputs!$B$13</f>
        <v>200000</v>
      </c>
      <c r="D14" s="16">
        <f>Inputs!$B$13</f>
        <v>200000</v>
      </c>
      <c r="E14" s="16">
        <f>Inputs!$B$13</f>
        <v>200000</v>
      </c>
      <c r="F14" s="16">
        <f>Inputs!$B$13</f>
        <v>200000</v>
      </c>
      <c r="G14" s="16">
        <f>Inputs!$B$13</f>
        <v>200000</v>
      </c>
      <c r="H14" s="16">
        <f>Inputs!$B$13</f>
        <v>200000</v>
      </c>
      <c r="I14" s="16">
        <f>Inputs!$B$13</f>
        <v>200000</v>
      </c>
      <c r="J14" s="16">
        <f>Inputs!$B$13</f>
        <v>200000</v>
      </c>
      <c r="K14" s="16">
        <f>Inputs!$B$13</f>
        <v>200000</v>
      </c>
      <c r="L14" s="16">
        <f>Inputs!$B$13</f>
        <v>200000</v>
      </c>
      <c r="M14" s="16">
        <f>Inputs!$B$13</f>
        <v>200000</v>
      </c>
    </row>
    <row r="15" spans="1:13" ht="15">
      <c r="A15" s="33" t="s">
        <v>107</v>
      </c>
      <c r="B15" s="34">
        <f t="shared" ref="B15:M15" si="5">B12-B13-B14</f>
        <v>60000</v>
      </c>
      <c r="C15" s="34">
        <f t="shared" si="5"/>
        <v>70400</v>
      </c>
      <c r="D15" s="34">
        <f t="shared" si="5"/>
        <v>81200</v>
      </c>
      <c r="E15" s="34">
        <f t="shared" si="5"/>
        <v>92400</v>
      </c>
      <c r="F15" s="34">
        <f t="shared" si="5"/>
        <v>104000</v>
      </c>
      <c r="G15" s="34">
        <f t="shared" si="5"/>
        <v>116400</v>
      </c>
      <c r="H15" s="34">
        <f t="shared" si="5"/>
        <v>128800</v>
      </c>
      <c r="I15" s="34">
        <f t="shared" si="5"/>
        <v>142000</v>
      </c>
      <c r="J15" s="34">
        <f t="shared" si="5"/>
        <v>156000</v>
      </c>
      <c r="K15" s="34">
        <f t="shared" si="5"/>
        <v>170000</v>
      </c>
      <c r="L15" s="34">
        <f t="shared" si="5"/>
        <v>184800</v>
      </c>
      <c r="M15" s="35">
        <f t="shared" si="5"/>
        <v>200400</v>
      </c>
    </row>
    <row r="16" spans="1:13" ht="15">
      <c r="A16" s="30" t="s">
        <v>108</v>
      </c>
      <c r="B16" s="16">
        <f>IF(B$5=1,Inputs!$B$18,0)</f>
        <v>500000</v>
      </c>
      <c r="C16" s="16">
        <f>IF(C$5=1,Inputs!$B$18,0)</f>
        <v>0</v>
      </c>
      <c r="D16" s="16">
        <f>IF(D$5=1,Inputs!$B$18,0)</f>
        <v>0</v>
      </c>
      <c r="E16" s="16">
        <f>IF(E$5=1,Inputs!$B$18,0)</f>
        <v>0</v>
      </c>
      <c r="F16" s="16">
        <f>IF(F$5=1,Inputs!$B$18,0)</f>
        <v>0</v>
      </c>
      <c r="G16" s="16">
        <f>IF(G$5=1,Inputs!$B$18,0)</f>
        <v>0</v>
      </c>
      <c r="H16" s="16">
        <f>IF(H$5=1,Inputs!$B$18,0)</f>
        <v>0</v>
      </c>
      <c r="I16" s="16">
        <f>IF(I$5=1,Inputs!$B$18,0)</f>
        <v>0</v>
      </c>
      <c r="J16" s="16">
        <f>IF(J$5=1,Inputs!$B$18,0)</f>
        <v>0</v>
      </c>
      <c r="K16" s="16">
        <f>IF(K$5=1,Inputs!$B$18,0)</f>
        <v>0</v>
      </c>
      <c r="L16" s="16">
        <f>IF(L$5=1,Inputs!$B$18,0)</f>
        <v>0</v>
      </c>
      <c r="M16" s="16">
        <f>IF(M$5=1,Inputs!$B$18,0)</f>
        <v>0</v>
      </c>
    </row>
    <row r="17" spans="1:13" ht="15">
      <c r="A17" s="30" t="s">
        <v>109</v>
      </c>
      <c r="B17" s="16">
        <f>IF(B$5=1,Inputs!$B$19,0)</f>
        <v>150000</v>
      </c>
      <c r="C17" s="16">
        <f>IF(C$5=1,Inputs!$B$19,0)</f>
        <v>0</v>
      </c>
      <c r="D17" s="16">
        <f>IF(D$5=1,Inputs!$B$19,0)</f>
        <v>0</v>
      </c>
      <c r="E17" s="16">
        <f>IF(E$5=1,Inputs!$B$19,0)</f>
        <v>0</v>
      </c>
      <c r="F17" s="16">
        <f>IF(F$5=1,Inputs!$B$19,0)</f>
        <v>0</v>
      </c>
      <c r="G17" s="16">
        <f>IF(G$5=1,Inputs!$B$19,0)</f>
        <v>0</v>
      </c>
      <c r="H17" s="16">
        <f>IF(H$5=1,Inputs!$B$19,0)</f>
        <v>0</v>
      </c>
      <c r="I17" s="16">
        <f>IF(I$5=1,Inputs!$B$19,0)</f>
        <v>0</v>
      </c>
      <c r="J17" s="16">
        <f>IF(J$5=1,Inputs!$B$19,0)</f>
        <v>0</v>
      </c>
      <c r="K17" s="16">
        <f>IF(K$5=1,Inputs!$B$19,0)</f>
        <v>0</v>
      </c>
      <c r="L17" s="16">
        <f>IF(L$5=1,Inputs!$B$19,0)</f>
        <v>0</v>
      </c>
      <c r="M17" s="16">
        <f>IF(M$5=1,Inputs!$B$19,0)</f>
        <v>0</v>
      </c>
    </row>
    <row r="18" spans="1:13" ht="15">
      <c r="A18" s="36" t="s">
        <v>110</v>
      </c>
      <c r="B18" s="37">
        <f t="shared" ref="B18:M18" si="6">B15-B16-B17</f>
        <v>-590000</v>
      </c>
      <c r="C18" s="37">
        <f t="shared" si="6"/>
        <v>70400</v>
      </c>
      <c r="D18" s="37">
        <f t="shared" si="6"/>
        <v>81200</v>
      </c>
      <c r="E18" s="37">
        <f t="shared" si="6"/>
        <v>92400</v>
      </c>
      <c r="F18" s="37">
        <f t="shared" si="6"/>
        <v>104000</v>
      </c>
      <c r="G18" s="37">
        <f t="shared" si="6"/>
        <v>116400</v>
      </c>
      <c r="H18" s="37">
        <f t="shared" si="6"/>
        <v>128800</v>
      </c>
      <c r="I18" s="37">
        <f t="shared" si="6"/>
        <v>142000</v>
      </c>
      <c r="J18" s="37">
        <f t="shared" si="6"/>
        <v>156000</v>
      </c>
      <c r="K18" s="37">
        <f t="shared" si="6"/>
        <v>170000</v>
      </c>
      <c r="L18" s="37">
        <f t="shared" si="6"/>
        <v>184800</v>
      </c>
      <c r="M18" s="38">
        <f t="shared" si="6"/>
        <v>200400</v>
      </c>
    </row>
    <row r="19" spans="1:13" ht="15">
      <c r="A19" s="39" t="s">
        <v>111</v>
      </c>
      <c r="B19" s="40">
        <f>B18</f>
        <v>-590000</v>
      </c>
      <c r="C19" s="40">
        <f t="shared" ref="C19:M19" si="7">B19+C18</f>
        <v>-519600</v>
      </c>
      <c r="D19" s="40">
        <f t="shared" si="7"/>
        <v>-438400</v>
      </c>
      <c r="E19" s="40">
        <f t="shared" si="7"/>
        <v>-346000</v>
      </c>
      <c r="F19" s="40">
        <f t="shared" si="7"/>
        <v>-242000</v>
      </c>
      <c r="G19" s="40">
        <f t="shared" si="7"/>
        <v>-125600</v>
      </c>
      <c r="H19" s="40">
        <f t="shared" si="7"/>
        <v>3200</v>
      </c>
      <c r="I19" s="40">
        <f t="shared" si="7"/>
        <v>145200</v>
      </c>
      <c r="J19" s="40">
        <f t="shared" si="7"/>
        <v>301200</v>
      </c>
      <c r="K19" s="40">
        <f t="shared" si="7"/>
        <v>471200</v>
      </c>
      <c r="L19" s="40">
        <f t="shared" si="7"/>
        <v>656000</v>
      </c>
      <c r="M19" s="41">
        <f t="shared" si="7"/>
        <v>856400</v>
      </c>
    </row>
    <row r="20" spans="1:13" ht="15">
      <c r="A20" s="30" t="s">
        <v>112</v>
      </c>
      <c r="B20" s="16">
        <f t="shared" ref="B20:M20" si="8">IF(B19&gt;=0,1,0)</f>
        <v>0</v>
      </c>
      <c r="C20" s="16">
        <f t="shared" si="8"/>
        <v>0</v>
      </c>
      <c r="D20" s="16">
        <f t="shared" si="8"/>
        <v>0</v>
      </c>
      <c r="E20" s="16">
        <f t="shared" si="8"/>
        <v>0</v>
      </c>
      <c r="F20" s="16">
        <f t="shared" si="8"/>
        <v>0</v>
      </c>
      <c r="G20" s="16">
        <f t="shared" si="8"/>
        <v>0</v>
      </c>
      <c r="H20" s="16">
        <f t="shared" si="8"/>
        <v>1</v>
      </c>
      <c r="I20" s="16">
        <f t="shared" si="8"/>
        <v>1</v>
      </c>
      <c r="J20" s="16">
        <f t="shared" si="8"/>
        <v>1</v>
      </c>
      <c r="K20" s="16">
        <f t="shared" si="8"/>
        <v>1</v>
      </c>
      <c r="L20" s="16">
        <f t="shared" si="8"/>
        <v>1</v>
      </c>
      <c r="M20" s="16">
        <f t="shared" si="8"/>
        <v>1</v>
      </c>
    </row>
    <row r="21" spans="1:13" ht="15">
      <c r="A21" s="30" t="s">
        <v>113</v>
      </c>
      <c r="B21" s="8" t="str">
        <f t="shared" ref="B21:M21" si="9">IF(B6&lt;=B7,"PASS","FAIL")</f>
        <v>PASS</v>
      </c>
      <c r="C21" s="8" t="str">
        <f t="shared" si="9"/>
        <v>PASS</v>
      </c>
      <c r="D21" s="8" t="str">
        <f t="shared" si="9"/>
        <v>PASS</v>
      </c>
      <c r="E21" s="8" t="str">
        <f t="shared" si="9"/>
        <v>PASS</v>
      </c>
      <c r="F21" s="8" t="str">
        <f t="shared" si="9"/>
        <v>PASS</v>
      </c>
      <c r="G21" s="8" t="str">
        <f t="shared" si="9"/>
        <v>PASS</v>
      </c>
      <c r="H21" s="8" t="str">
        <f t="shared" si="9"/>
        <v>PASS</v>
      </c>
      <c r="I21" s="8" t="str">
        <f t="shared" si="9"/>
        <v>PASS</v>
      </c>
      <c r="J21" s="8" t="str">
        <f t="shared" si="9"/>
        <v>PASS</v>
      </c>
      <c r="K21" s="8" t="str">
        <f t="shared" si="9"/>
        <v>PASS</v>
      </c>
      <c r="L21" s="8" t="str">
        <f t="shared" si="9"/>
        <v>PASS</v>
      </c>
      <c r="M21" s="8" t="str">
        <f t="shared" si="9"/>
        <v>PASS</v>
      </c>
    </row>
  </sheetData>
  <mergeCells count="2">
    <mergeCell ref="A1:M1"/>
    <mergeCell ref="A2:M2"/>
  </mergeCells>
  <conditionalFormatting sqref="B8:M8">
    <cfRule type="cellIs" dxfId="6" priority="1" operator="greaterThan">
      <formula>1</formula>
    </cfRule>
  </conditionalFormatting>
  <conditionalFormatting sqref="B21:M21">
    <cfRule type="containsText" dxfId="5" priority="2" operator="containsText" text="FAIL"/>
    <cfRule type="containsText" dxfId="4" priority="3" operator="containsText" text="PASS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3"/>
  <sheetViews>
    <sheetView showGridLines="0" workbookViewId="0">
      <selection sqref="A1:F1"/>
    </sheetView>
  </sheetViews>
  <sheetFormatPr defaultRowHeight="14.25"/>
  <cols>
    <col min="1" max="1" width="34" customWidth="1"/>
    <col min="2" max="5" width="18" customWidth="1"/>
    <col min="6" max="6" width="38" customWidth="1"/>
  </cols>
  <sheetData>
    <row r="1" spans="1:6" ht="30" customHeight="1">
      <c r="A1" s="47" t="s">
        <v>114</v>
      </c>
      <c r="B1" s="47"/>
      <c r="C1" s="47"/>
      <c r="D1" s="47"/>
      <c r="E1" s="47"/>
      <c r="F1" s="47"/>
    </row>
    <row r="2" spans="1:6" ht="20.100000000000001" customHeight="1">
      <c r="A2" s="48" t="s">
        <v>115</v>
      </c>
      <c r="B2" s="48"/>
      <c r="C2" s="48"/>
      <c r="D2" s="48"/>
      <c r="E2" s="48"/>
      <c r="F2" s="48"/>
    </row>
    <row r="3" spans="1:6">
      <c r="A3" s="8"/>
      <c r="B3" s="8"/>
      <c r="C3" s="8"/>
      <c r="D3" s="8"/>
      <c r="E3" s="8"/>
      <c r="F3" s="8"/>
    </row>
    <row r="4" spans="1:6" ht="15">
      <c r="A4" s="42" t="s">
        <v>116</v>
      </c>
      <c r="B4" s="42" t="str">
        <f>IF(COUNTIF(E7:E13,"FAIL")=0,"PASS","REVIEW REQUIRED")</f>
        <v>PASS</v>
      </c>
      <c r="C4" s="8"/>
      <c r="D4" s="8"/>
      <c r="E4" s="8"/>
      <c r="F4" s="8"/>
    </row>
    <row r="5" spans="1:6">
      <c r="A5" s="8"/>
      <c r="B5" s="8"/>
      <c r="C5" s="8"/>
      <c r="D5" s="8"/>
      <c r="E5" s="8"/>
      <c r="F5" s="8"/>
    </row>
    <row r="6" spans="1:6" ht="15">
      <c r="A6" s="10" t="s">
        <v>117</v>
      </c>
      <c r="B6" s="10" t="s">
        <v>118</v>
      </c>
      <c r="C6" s="10" t="s">
        <v>119</v>
      </c>
      <c r="D6" s="10" t="s">
        <v>120</v>
      </c>
      <c r="E6" s="10" t="s">
        <v>121</v>
      </c>
      <c r="F6" s="10" t="s">
        <v>122</v>
      </c>
    </row>
    <row r="7" spans="1:6">
      <c r="A7" s="13" t="s">
        <v>123</v>
      </c>
      <c r="B7" s="43">
        <f>Inputs!$B$11-Inputs!$B$12</f>
        <v>400</v>
      </c>
      <c r="C7" s="43">
        <v>0</v>
      </c>
      <c r="D7" s="43">
        <f>B7-C7</f>
        <v>400</v>
      </c>
      <c r="E7" s="13" t="str">
        <f>IF(B7&gt;0,"PASS","FAIL")</f>
        <v>PASS</v>
      </c>
      <c r="F7" s="13" t="s">
        <v>124</v>
      </c>
    </row>
    <row r="8" spans="1:6">
      <c r="A8" s="13" t="s">
        <v>125</v>
      </c>
      <c r="B8" s="43">
        <f>Inputs!$B$13</f>
        <v>200000</v>
      </c>
      <c r="C8" s="43">
        <v>0</v>
      </c>
      <c r="D8" s="43">
        <f>B8-C8</f>
        <v>200000</v>
      </c>
      <c r="E8" s="13" t="str">
        <f>IF(B8&gt;=0,"PASS","FAIL")</f>
        <v>PASS</v>
      </c>
      <c r="F8" s="13" t="s">
        <v>126</v>
      </c>
    </row>
    <row r="9" spans="1:6" ht="28.5">
      <c r="A9" s="13" t="s">
        <v>127</v>
      </c>
      <c r="B9" s="43">
        <f>IF((Inputs!$B$11-Inputs!$B$12)&lt;=0,0,ROUNDUP(Inputs!$B$13/(Inputs!$B$11-Inputs!$B$12),0))</f>
        <v>500</v>
      </c>
      <c r="C9" s="43">
        <f>Inputs!$B$16</f>
        <v>1100</v>
      </c>
      <c r="D9" s="43">
        <f>C9-B9</f>
        <v>600</v>
      </c>
      <c r="E9" s="13" t="str">
        <f>IF(B9&lt;=C9,"PASS","FAIL")</f>
        <v>PASS</v>
      </c>
      <c r="F9" s="13" t="s">
        <v>128</v>
      </c>
    </row>
    <row r="10" spans="1:6" ht="28.5">
      <c r="A10" s="13" t="s">
        <v>129</v>
      </c>
      <c r="B10" s="43">
        <f>MAX('Monthly Model'!$B$6:$M$6)</f>
        <v>1001</v>
      </c>
      <c r="C10" s="43">
        <f>Inputs!$B$16</f>
        <v>1100</v>
      </c>
      <c r="D10" s="43">
        <f>C10-B10</f>
        <v>99</v>
      </c>
      <c r="E10" s="13" t="str">
        <f>IF(B10&lt;=C10,"PASS","FAIL")</f>
        <v>PASS</v>
      </c>
      <c r="F10" s="13" t="s">
        <v>130</v>
      </c>
    </row>
    <row r="11" spans="1:6">
      <c r="A11" s="13" t="s">
        <v>131</v>
      </c>
      <c r="B11" s="43">
        <f>COUNTIF(Scenarios!$B$4:$D$4,Inputs!$B$5)</f>
        <v>1</v>
      </c>
      <c r="C11" s="43">
        <v>1</v>
      </c>
      <c r="D11" s="43">
        <f>B11-C11</f>
        <v>0</v>
      </c>
      <c r="E11" s="13" t="str">
        <f>IF(B11=1,"PASS","FAIL")</f>
        <v>PASS</v>
      </c>
      <c r="F11" s="13" t="s">
        <v>132</v>
      </c>
    </row>
    <row r="12" spans="1:6">
      <c r="A12" s="13" t="s">
        <v>133</v>
      </c>
      <c r="B12" s="43">
        <f>COUNT(Inputs!$B$11:$B$19)</f>
        <v>9</v>
      </c>
      <c r="C12" s="43">
        <v>9</v>
      </c>
      <c r="D12" s="43">
        <f>B12-C12</f>
        <v>0</v>
      </c>
      <c r="E12" s="13" t="str">
        <f>IF(B12=C12,"PASS","FAIL")</f>
        <v>PASS</v>
      </c>
      <c r="F12" s="13" t="s">
        <v>134</v>
      </c>
    </row>
    <row r="13" spans="1:6" ht="28.5">
      <c r="A13" s="13" t="s">
        <v>135</v>
      </c>
      <c r="B13" s="43">
        <f>MIN(Scenarios!$B$8:$D$8)</f>
        <v>450</v>
      </c>
      <c r="C13" s="43">
        <v>0</v>
      </c>
      <c r="D13" s="43">
        <f>B13-C13</f>
        <v>450</v>
      </c>
      <c r="E13" s="13" t="str">
        <f>IF(B13&gt;=0,"PASS","FAIL")</f>
        <v>PASS</v>
      </c>
      <c r="F13" s="13" t="s">
        <v>136</v>
      </c>
    </row>
  </sheetData>
  <mergeCells count="2">
    <mergeCell ref="A1:F1"/>
    <mergeCell ref="A2:F2"/>
  </mergeCells>
  <conditionalFormatting sqref="B4">
    <cfRule type="containsText" dxfId="3" priority="3" operator="containsText" text="PASS"/>
    <cfRule type="containsText" dxfId="2" priority="4" operator="containsText" text="REVIEW"/>
  </conditionalFormatting>
  <conditionalFormatting sqref="E7:E13">
    <cfRule type="containsText" dxfId="1" priority="1" operator="containsText" text="PASS"/>
    <cfRule type="containsText" dxfId="0" priority="2" operator="containsText" text="FAIL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23"/>
  <sheetViews>
    <sheetView showGridLines="0" workbookViewId="0">
      <selection activeCell="E7" sqref="E7"/>
    </sheetView>
  </sheetViews>
  <sheetFormatPr defaultRowHeight="14.25"/>
  <cols>
    <col min="1" max="1" width="28" customWidth="1"/>
    <col min="2" max="3" width="22" customWidth="1"/>
    <col min="4" max="4" width="18" customWidth="1"/>
    <col min="5" max="5" width="20" customWidth="1"/>
    <col min="6" max="7" width="22" customWidth="1"/>
    <col min="8" max="8" width="32" customWidth="1"/>
  </cols>
  <sheetData>
    <row r="1" spans="1:8" ht="30" customHeight="1">
      <c r="A1" s="47" t="s">
        <v>137</v>
      </c>
      <c r="B1" s="47"/>
      <c r="C1" s="47"/>
      <c r="D1" s="47"/>
      <c r="E1" s="47"/>
      <c r="F1" s="47"/>
      <c r="G1" s="47"/>
      <c r="H1" s="47"/>
    </row>
    <row r="2" spans="1:8" ht="20.100000000000001" customHeight="1">
      <c r="A2" s="48" t="s">
        <v>138</v>
      </c>
      <c r="B2" s="48"/>
      <c r="C2" s="48"/>
      <c r="D2" s="48"/>
      <c r="E2" s="48"/>
      <c r="F2" s="48"/>
      <c r="G2" s="48"/>
      <c r="H2" s="48"/>
    </row>
    <row r="3" spans="1:8">
      <c r="A3" s="8"/>
      <c r="B3" s="8"/>
      <c r="C3" s="8"/>
      <c r="D3" s="8"/>
      <c r="E3" s="8"/>
      <c r="F3" s="8"/>
      <c r="G3" s="8"/>
      <c r="H3" s="8"/>
    </row>
    <row r="4" spans="1:8" ht="21.95" customHeight="1">
      <c r="A4" s="61" t="s">
        <v>139</v>
      </c>
      <c r="B4" s="61"/>
      <c r="C4" s="61"/>
      <c r="D4" s="61" t="s">
        <v>140</v>
      </c>
      <c r="E4" s="61"/>
      <c r="F4" s="61"/>
      <c r="G4" s="61"/>
      <c r="H4" s="61"/>
    </row>
    <row r="5" spans="1:8" ht="15">
      <c r="A5" s="44" t="s">
        <v>141</v>
      </c>
      <c r="B5" s="88" t="s">
        <v>142</v>
      </c>
      <c r="C5" s="89"/>
      <c r="D5" s="44" t="s">
        <v>143</v>
      </c>
      <c r="E5" s="23">
        <v>1</v>
      </c>
      <c r="F5" s="8"/>
      <c r="G5" s="8"/>
      <c r="H5" s="8"/>
    </row>
    <row r="6" spans="1:8" ht="15">
      <c r="A6" s="44" t="s">
        <v>144</v>
      </c>
      <c r="B6" s="88" t="s">
        <v>145</v>
      </c>
      <c r="C6" s="89"/>
      <c r="D6" s="44" t="s">
        <v>146</v>
      </c>
      <c r="E6" s="45">
        <v>46243</v>
      </c>
      <c r="F6" s="8"/>
      <c r="G6" s="8"/>
      <c r="H6" s="8"/>
    </row>
    <row r="7" spans="1:8" ht="28.5">
      <c r="A7" s="44" t="s">
        <v>147</v>
      </c>
      <c r="B7" s="88" t="s">
        <v>148</v>
      </c>
      <c r="C7" s="89"/>
      <c r="D7" s="44" t="s">
        <v>149</v>
      </c>
      <c r="E7" s="23" t="s">
        <v>150</v>
      </c>
      <c r="F7" s="8"/>
      <c r="G7" s="8"/>
      <c r="H7" s="8"/>
    </row>
    <row r="8" spans="1:8" ht="15">
      <c r="A8" s="44" t="s">
        <v>151</v>
      </c>
      <c r="B8" s="88" t="s">
        <v>152</v>
      </c>
      <c r="C8" s="89"/>
      <c r="D8" s="44" t="s">
        <v>153</v>
      </c>
      <c r="E8" s="23" t="s">
        <v>154</v>
      </c>
      <c r="F8" s="8"/>
      <c r="G8" s="8"/>
      <c r="H8" s="8"/>
    </row>
    <row r="9" spans="1:8" ht="42.75">
      <c r="A9" s="8"/>
      <c r="B9" s="8"/>
      <c r="C9" s="8"/>
      <c r="D9" s="44" t="s">
        <v>121</v>
      </c>
      <c r="E9" s="23" t="s">
        <v>155</v>
      </c>
      <c r="F9" s="8"/>
      <c r="G9" s="8"/>
      <c r="H9" s="8"/>
    </row>
    <row r="10" spans="1:8" ht="21.95" customHeight="1">
      <c r="A10" s="61" t="s">
        <v>156</v>
      </c>
      <c r="B10" s="61"/>
      <c r="C10" s="61"/>
      <c r="D10" s="61"/>
      <c r="E10" s="61"/>
      <c r="F10" s="61"/>
      <c r="G10" s="61"/>
      <c r="H10" s="61"/>
    </row>
    <row r="11" spans="1:8" ht="15">
      <c r="A11" s="10" t="s">
        <v>157</v>
      </c>
      <c r="B11" s="10" t="s">
        <v>21</v>
      </c>
      <c r="C11" s="10" t="s">
        <v>158</v>
      </c>
      <c r="D11" s="10" t="s">
        <v>159</v>
      </c>
      <c r="E11" s="10" t="s">
        <v>160</v>
      </c>
      <c r="F11" s="10" t="s">
        <v>161</v>
      </c>
      <c r="G11" s="10" t="s">
        <v>67</v>
      </c>
      <c r="H11" s="10" t="s">
        <v>69</v>
      </c>
    </row>
    <row r="12" spans="1:8" ht="33" customHeight="1">
      <c r="A12" s="13" t="s">
        <v>162</v>
      </c>
      <c r="B12" s="13" t="s">
        <v>163</v>
      </c>
      <c r="C12" s="13" t="s">
        <v>164</v>
      </c>
      <c r="D12" s="13" t="s">
        <v>165</v>
      </c>
      <c r="E12" s="13" t="s">
        <v>166</v>
      </c>
      <c r="F12" s="13" t="s">
        <v>167</v>
      </c>
      <c r="G12" s="13" t="s">
        <v>72</v>
      </c>
      <c r="H12" s="13" t="s">
        <v>168</v>
      </c>
    </row>
    <row r="13" spans="1:8" ht="33" customHeight="1">
      <c r="A13" s="13" t="s">
        <v>75</v>
      </c>
      <c r="B13" s="13" t="s">
        <v>163</v>
      </c>
      <c r="C13" s="13" t="s">
        <v>164</v>
      </c>
      <c r="D13" s="13" t="s">
        <v>165</v>
      </c>
      <c r="E13" s="13" t="s">
        <v>169</v>
      </c>
      <c r="F13" s="13" t="s">
        <v>170</v>
      </c>
      <c r="G13" s="13" t="s">
        <v>77</v>
      </c>
      <c r="H13" s="13" t="s">
        <v>171</v>
      </c>
    </row>
    <row r="14" spans="1:8" ht="33" customHeight="1">
      <c r="A14" s="13" t="s">
        <v>172</v>
      </c>
      <c r="B14" s="13" t="s">
        <v>163</v>
      </c>
      <c r="C14" s="13" t="s">
        <v>164</v>
      </c>
      <c r="D14" s="13" t="s">
        <v>173</v>
      </c>
      <c r="E14" s="13" t="s">
        <v>174</v>
      </c>
      <c r="F14" s="13" t="s">
        <v>175</v>
      </c>
      <c r="G14" s="13" t="s">
        <v>79</v>
      </c>
      <c r="H14" s="13" t="s">
        <v>176</v>
      </c>
    </row>
    <row r="15" spans="1:8" ht="33" customHeight="1">
      <c r="A15" s="13" t="s">
        <v>80</v>
      </c>
      <c r="B15" s="13" t="s">
        <v>163</v>
      </c>
      <c r="C15" s="13" t="s">
        <v>164</v>
      </c>
      <c r="D15" s="13" t="s">
        <v>177</v>
      </c>
      <c r="E15" s="13" t="s">
        <v>178</v>
      </c>
      <c r="F15" s="13" t="s">
        <v>179</v>
      </c>
      <c r="G15" s="13" t="s">
        <v>72</v>
      </c>
      <c r="H15" s="13" t="s">
        <v>180</v>
      </c>
    </row>
    <row r="16" spans="1:8" ht="33" customHeight="1">
      <c r="A16" s="13" t="s">
        <v>82</v>
      </c>
      <c r="B16" s="13" t="s">
        <v>163</v>
      </c>
      <c r="C16" s="13" t="s">
        <v>164</v>
      </c>
      <c r="D16" s="13" t="s">
        <v>177</v>
      </c>
      <c r="E16" s="13" t="s">
        <v>181</v>
      </c>
      <c r="F16" s="13" t="s">
        <v>182</v>
      </c>
      <c r="G16" s="13" t="s">
        <v>77</v>
      </c>
      <c r="H16" s="13" t="s">
        <v>183</v>
      </c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 ht="21.95" customHeight="1">
      <c r="A18" s="61" t="s">
        <v>184</v>
      </c>
      <c r="B18" s="61"/>
      <c r="C18" s="61"/>
      <c r="D18" s="61"/>
      <c r="E18" s="61"/>
      <c r="F18" s="61"/>
      <c r="G18" s="61"/>
      <c r="H18" s="61"/>
    </row>
    <row r="19" spans="1:8" ht="15">
      <c r="A19" s="44" t="s">
        <v>45</v>
      </c>
      <c r="B19" s="88" t="s">
        <v>185</v>
      </c>
      <c r="C19" s="89"/>
      <c r="D19" s="8"/>
      <c r="E19" s="8"/>
      <c r="F19" s="8"/>
      <c r="G19" s="8"/>
      <c r="H19" s="8"/>
    </row>
    <row r="20" spans="1:8" ht="15">
      <c r="A20" s="44" t="s">
        <v>186</v>
      </c>
      <c r="B20" s="88" t="s">
        <v>187</v>
      </c>
      <c r="C20" s="89"/>
      <c r="D20" s="8"/>
      <c r="E20" s="8"/>
      <c r="F20" s="8"/>
      <c r="G20" s="8"/>
      <c r="H20" s="8"/>
    </row>
    <row r="21" spans="1:8" ht="15">
      <c r="A21" s="44" t="s">
        <v>188</v>
      </c>
      <c r="B21" s="88" t="s">
        <v>189</v>
      </c>
      <c r="C21" s="89"/>
      <c r="D21" s="8"/>
      <c r="E21" s="8"/>
      <c r="F21" s="8"/>
      <c r="G21" s="8"/>
      <c r="H21" s="8"/>
    </row>
    <row r="22" spans="1:8" ht="15">
      <c r="A22" s="44" t="s">
        <v>190</v>
      </c>
      <c r="B22" s="88" t="s">
        <v>191</v>
      </c>
      <c r="C22" s="89"/>
      <c r="D22" s="8"/>
      <c r="E22" s="8"/>
      <c r="F22" s="8"/>
      <c r="G22" s="8"/>
      <c r="H22" s="8"/>
    </row>
    <row r="23" spans="1:8" ht="15">
      <c r="A23" s="44" t="s">
        <v>192</v>
      </c>
      <c r="B23" s="88" t="s">
        <v>193</v>
      </c>
      <c r="C23" s="89"/>
      <c r="D23" s="8"/>
      <c r="E23" s="8"/>
      <c r="F23" s="8"/>
      <c r="G23" s="8"/>
      <c r="H23" s="8"/>
    </row>
  </sheetData>
  <mergeCells count="14">
    <mergeCell ref="B20:C20"/>
    <mergeCell ref="B21:C21"/>
    <mergeCell ref="B22:C22"/>
    <mergeCell ref="B23:C23"/>
    <mergeCell ref="B7:C7"/>
    <mergeCell ref="B8:C8"/>
    <mergeCell ref="A10:H10"/>
    <mergeCell ref="A18:H18"/>
    <mergeCell ref="B19:C19"/>
    <mergeCell ref="A1:H1"/>
    <mergeCell ref="A2:H2"/>
    <mergeCell ref="A4:H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Inputs</vt:lpstr>
      <vt:lpstr>Scenarios</vt:lpstr>
      <vt:lpstr>Monthly Model</vt:lpstr>
      <vt:lpstr>Checks</vt:lpstr>
      <vt:lpstr>Guide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THAKUR</cp:lastModifiedBy>
  <dcterms:modified xsi:type="dcterms:W3CDTF">2026-08-13T18:05:39Z</dcterms:modified>
</cp:coreProperties>
</file>