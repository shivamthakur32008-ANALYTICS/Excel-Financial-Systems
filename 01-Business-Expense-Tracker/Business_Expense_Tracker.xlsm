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ink/ink1.xml" ContentType="application/inkml+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88ED3192B30C47D9/Documents/"/>
    </mc:Choice>
  </mc:AlternateContent>
  <xr:revisionPtr revIDLastSave="180" documentId="8_{7DFB889B-91E5-477E-A183-2E64765F3567}" xr6:coauthVersionLast="47" xr6:coauthVersionMax="47" xr10:uidLastSave="{65C383D5-88A2-4102-92CC-C112DEAEAA81}"/>
  <bookViews>
    <workbookView xWindow="-120" yWindow="-120" windowWidth="29040" windowHeight="16440" tabRatio="756" activeTab="4" xr2:uid="{8CE31CD6-491B-4936-9A3D-68D961D9AA15}"/>
  </bookViews>
  <sheets>
    <sheet name="DashBoard" sheetId="11" r:id="rId1"/>
    <sheet name="Transactions" sheetId="2" r:id="rId2"/>
    <sheet name="Categories" sheetId="3" r:id="rId3"/>
    <sheet name="Vendors" sheetId="4" r:id="rId4"/>
    <sheet name="Budget" sheetId="5" r:id="rId5"/>
    <sheet name="Cash_Flow" sheetId="6" r:id="rId6"/>
    <sheet name="P&amp;l" sheetId="7" r:id="rId7"/>
    <sheet name="Settings" sheetId="8" r:id="rId8"/>
    <sheet name="Pivot_data" sheetId="9" state="hidden" r:id="rId9"/>
  </sheets>
  <definedNames>
    <definedName name="Slicer_Category">#N/A</definedName>
    <definedName name="Slicer_Payment_Mode">#N/A</definedName>
  </definedNames>
  <calcPr calcId="191029"/>
  <pivotCaches>
    <pivotCache cacheId="38" r:id="rId10"/>
    <pivotCache cacheId="42" r:id="rId11"/>
    <pivotCache cacheId="5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5" l="1"/>
  <c r="D9" i="5" s="1"/>
  <c r="C10" i="5"/>
  <c r="D10" i="5" s="1"/>
  <c r="C11" i="5"/>
  <c r="E11" i="5" s="1"/>
  <c r="F11" i="5" s="1"/>
  <c r="C12" i="5"/>
  <c r="E12" i="5" s="1"/>
  <c r="F12" i="5" s="1"/>
  <c r="C13" i="5"/>
  <c r="E13" i="5" s="1"/>
  <c r="F13" i="5" s="1"/>
  <c r="C14" i="5"/>
  <c r="D14" i="5" s="1"/>
  <c r="C15" i="5"/>
  <c r="E15" i="5" s="1"/>
  <c r="F15" i="5" s="1"/>
  <c r="B5" i="4"/>
  <c r="B6" i="4"/>
  <c r="B7" i="4"/>
  <c r="B8" i="4"/>
  <c r="C7" i="4"/>
  <c r="C8" i="4"/>
  <c r="C5" i="4"/>
  <c r="C6" i="4"/>
  <c r="D6" i="4" s="1"/>
  <c r="C4" i="4"/>
  <c r="D4" i="4" s="1"/>
  <c r="B4" i="4"/>
  <c r="B5" i="7"/>
  <c r="B4" i="7"/>
  <c r="B6" i="7" s="1"/>
  <c r="C10" i="6"/>
  <c r="B10" i="6"/>
  <c r="D10" i="6" s="1"/>
  <c r="E10" i="6" s="1"/>
  <c r="R2" i="5"/>
  <c r="A8" i="2"/>
  <c r="A5" i="2"/>
  <c r="A6" i="2"/>
  <c r="A7" i="2"/>
  <c r="A4" i="2"/>
  <c r="D8" i="4" l="1"/>
  <c r="D7" i="4"/>
  <c r="E10" i="5"/>
  <c r="F10" i="5" s="1"/>
  <c r="D13" i="5"/>
  <c r="E9" i="5"/>
  <c r="F9" i="5" s="1"/>
  <c r="E14" i="5"/>
  <c r="F14" i="5" s="1"/>
  <c r="D15" i="5"/>
  <c r="D12" i="5"/>
  <c r="D11" i="5"/>
  <c r="R3" i="5"/>
  <c r="R5" i="5"/>
  <c r="D5" i="4"/>
  <c r="R4" i="5" l="1"/>
</calcChain>
</file>

<file path=xl/sharedStrings.xml><?xml version="1.0" encoding="utf-8"?>
<sst xmlns="http://schemas.openxmlformats.org/spreadsheetml/2006/main" count="255" uniqueCount="130">
  <si>
    <t>BUSINESS EXPENSE TRACKER</t>
  </si>
  <si>
    <t>Transaction ID</t>
  </si>
  <si>
    <t>Date</t>
  </si>
  <si>
    <t>Type</t>
  </si>
  <si>
    <t>Category</t>
  </si>
  <si>
    <t>Sub Category</t>
  </si>
  <si>
    <t>Vendor</t>
  </si>
  <si>
    <t>Payment Mode</t>
  </si>
  <si>
    <t>Amount</t>
  </si>
  <si>
    <t>GST %</t>
  </si>
  <si>
    <t>Project</t>
  </si>
  <si>
    <t>Status</t>
  </si>
  <si>
    <t>Notes</t>
  </si>
  <si>
    <t>Expense</t>
  </si>
  <si>
    <t>Income</t>
  </si>
  <si>
    <t>Transfer</t>
  </si>
  <si>
    <t>Refund</t>
  </si>
  <si>
    <t>Marketing</t>
  </si>
  <si>
    <t>Meta</t>
  </si>
  <si>
    <t>UPI</t>
  </si>
  <si>
    <t>Agency</t>
  </si>
  <si>
    <t>Paid</t>
  </si>
  <si>
    <t>Software</t>
  </si>
  <si>
    <t>Client Payment</t>
  </si>
  <si>
    <t>Office</t>
  </si>
  <si>
    <t>Travel</t>
  </si>
  <si>
    <t>Facebook Ads</t>
  </si>
  <si>
    <t>Electricity</t>
  </si>
  <si>
    <t>Fuel</t>
  </si>
  <si>
    <t>ABC Ltd</t>
  </si>
  <si>
    <t>HP Electricity board</t>
  </si>
  <si>
    <t>Indian Oil</t>
  </si>
  <si>
    <t>Bank</t>
  </si>
  <si>
    <t>Client Visit</t>
  </si>
  <si>
    <t>Received</t>
  </si>
  <si>
    <t>Monthly Subscription</t>
  </si>
  <si>
    <t>Invoice #101</t>
  </si>
  <si>
    <t xml:space="preserve">Monthly bill </t>
  </si>
  <si>
    <t>Chandigarh Visit</t>
  </si>
  <si>
    <t>Expense Categories</t>
  </si>
  <si>
    <t>Sub Categories</t>
  </si>
  <si>
    <t>Google Ads</t>
  </si>
  <si>
    <t>Instagram Ads</t>
  </si>
  <si>
    <t>Youtube</t>
  </si>
  <si>
    <t>SEO</t>
  </si>
  <si>
    <t>ChatGPT</t>
  </si>
  <si>
    <t>Canva</t>
  </si>
  <si>
    <t>Microsoft 365</t>
  </si>
  <si>
    <t>Adobe</t>
  </si>
  <si>
    <t>Zoom</t>
  </si>
  <si>
    <t>Rent</t>
  </si>
  <si>
    <t>Furniture</t>
  </si>
  <si>
    <t>Stationery</t>
  </si>
  <si>
    <t>Cleaning</t>
  </si>
  <si>
    <t>Hotel</t>
  </si>
  <si>
    <t>Flight</t>
  </si>
  <si>
    <t>Taxi</t>
  </si>
  <si>
    <t>Utilities</t>
  </si>
  <si>
    <t>Internet</t>
  </si>
  <si>
    <t>Mobile</t>
  </si>
  <si>
    <t>Water</t>
  </si>
  <si>
    <t>Salary</t>
  </si>
  <si>
    <t>Employee Salary</t>
  </si>
  <si>
    <t>Bonus</t>
  </si>
  <si>
    <t>Incentives</t>
  </si>
  <si>
    <t>GST</t>
  </si>
  <si>
    <t>Income Tax</t>
  </si>
  <si>
    <t>TDS</t>
  </si>
  <si>
    <t>Taxes</t>
  </si>
  <si>
    <t xml:space="preserve">Cash </t>
  </si>
  <si>
    <t>Credit Card</t>
  </si>
  <si>
    <t>Debit Card</t>
  </si>
  <si>
    <t>Wallet</t>
  </si>
  <si>
    <t>Cheque</t>
  </si>
  <si>
    <t>Pending</t>
  </si>
  <si>
    <t>Cancelled</t>
  </si>
  <si>
    <t>Refunded</t>
  </si>
  <si>
    <t>Net Banking</t>
  </si>
  <si>
    <t>Loan</t>
  </si>
  <si>
    <t>Assets</t>
  </si>
  <si>
    <t>Sales Revenue</t>
  </si>
  <si>
    <t>Investment</t>
  </si>
  <si>
    <t>Overdue</t>
  </si>
  <si>
    <t>Monthly Budget Planner</t>
  </si>
  <si>
    <t>Monthly Budget</t>
  </si>
  <si>
    <t>Actual Spend</t>
  </si>
  <si>
    <t>Remaining</t>
  </si>
  <si>
    <t>Budget Used %</t>
  </si>
  <si>
    <t>Remarks</t>
  </si>
  <si>
    <t>OpenAI</t>
  </si>
  <si>
    <t>MONTHLY  CASH  FLOW</t>
  </si>
  <si>
    <t>Month</t>
  </si>
  <si>
    <t>Expenses</t>
  </si>
  <si>
    <t>Net Cash Flow</t>
  </si>
  <si>
    <t>Closing Balance</t>
  </si>
  <si>
    <t>January</t>
  </si>
  <si>
    <t>February</t>
  </si>
  <si>
    <t>March</t>
  </si>
  <si>
    <t>April</t>
  </si>
  <si>
    <t>May</t>
  </si>
  <si>
    <t>June</t>
  </si>
  <si>
    <t>July</t>
  </si>
  <si>
    <t>August</t>
  </si>
  <si>
    <t>September</t>
  </si>
  <si>
    <t>October</t>
  </si>
  <si>
    <t>November</t>
  </si>
  <si>
    <t>December</t>
  </si>
  <si>
    <t>Opening Balance</t>
  </si>
  <si>
    <t>Profit &amp; Loss Statement</t>
  </si>
  <si>
    <t>Particulars</t>
  </si>
  <si>
    <t>Revenue</t>
  </si>
  <si>
    <t>Less: Expenses</t>
  </si>
  <si>
    <t>Net Profit</t>
  </si>
  <si>
    <t>Vendor Analysis</t>
  </si>
  <si>
    <t xml:space="preserve">Vendor </t>
  </si>
  <si>
    <t>Total Expenses</t>
  </si>
  <si>
    <t>Total Income</t>
  </si>
  <si>
    <t>Net</t>
  </si>
  <si>
    <t>HP Electricity Board</t>
  </si>
  <si>
    <t>Row Labels</t>
  </si>
  <si>
    <t>Grand Total</t>
  </si>
  <si>
    <t>Sum of Amount</t>
  </si>
  <si>
    <t>Expense by Category</t>
  </si>
  <si>
    <t>Jul</t>
  </si>
  <si>
    <t>Column Labels</t>
  </si>
  <si>
    <t>Sum of Budget Used %</t>
  </si>
  <si>
    <t>Sum of Total Expenses</t>
  </si>
  <si>
    <t>July campaigns</t>
  </si>
  <si>
    <t>Miscellaneous</t>
  </si>
  <si>
    <t>Website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</si>
</sst>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43" formatCode="_ * #,##0.00_ ;_ * \-#,##0.00_ ;_ * &quot;-&quot;??_ ;_ @_ "/>
    <numFmt numFmtId="164" formatCode="_ &quot;₹&quot;\ * #,##0_ ;_ &quot;₹&quot;\ * \-#,##0_ ;_ &quot;₹&quot;\ * &quot;-&quot;??_ ;_ @_ "/>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b/>
      <sz val="18"/>
      <color theme="0"/>
      <name val="Segoe UI"/>
      <family val="2"/>
    </font>
    <font>
      <sz val="8"/>
      <name val="Aptos Narrow"/>
      <family val="2"/>
      <scheme val="minor"/>
    </font>
    <font>
      <sz val="11"/>
      <color theme="0"/>
      <name val="Aptos Narrow"/>
      <family val="2"/>
      <scheme val="minor"/>
    </font>
    <font>
      <b/>
      <sz val="18"/>
      <color theme="3" tint="0.89999084444715716"/>
      <name val="Segoe UI"/>
      <family val="2"/>
    </font>
  </fonts>
  <fills count="5">
    <fill>
      <patternFill patternType="none"/>
    </fill>
    <fill>
      <patternFill patternType="gray125"/>
    </fill>
    <fill>
      <patternFill patternType="solid">
        <fgColor theme="3" tint="9.9978637043366805E-2"/>
        <bgColor indexed="64"/>
      </patternFill>
    </fill>
    <fill>
      <patternFill patternType="solid">
        <fgColor theme="0"/>
        <bgColor indexed="64"/>
      </patternFill>
    </fill>
    <fill>
      <patternFill patternType="solid">
        <fgColor rgb="FFF5F7FA"/>
        <bgColor indexed="64"/>
      </patternFill>
    </fill>
  </fills>
  <borders count="1">
    <border>
      <left/>
      <right/>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24">
    <xf numFmtId="0" fontId="0" fillId="0" borderId="0" xfId="0"/>
    <xf numFmtId="0" fontId="2" fillId="0" borderId="0" xfId="0" applyFont="1"/>
    <xf numFmtId="9" fontId="1" fillId="0" borderId="0" xfId="1" applyFont="1"/>
    <xf numFmtId="9" fontId="1" fillId="2" borderId="0" xfId="1" applyFont="1" applyFill="1"/>
    <xf numFmtId="14" fontId="0" fillId="2" borderId="0" xfId="0" applyNumberFormat="1" applyFill="1"/>
    <xf numFmtId="0" fontId="0" fillId="2" borderId="0" xfId="0" applyFill="1"/>
    <xf numFmtId="14" fontId="0" fillId="0" borderId="0" xfId="0" applyNumberFormat="1"/>
    <xf numFmtId="9" fontId="0" fillId="0" borderId="0" xfId="1" applyFont="1"/>
    <xf numFmtId="44" fontId="0" fillId="0" borderId="0" xfId="0" applyNumberFormat="1"/>
    <xf numFmtId="44" fontId="0" fillId="2" borderId="0" xfId="0" applyNumberFormat="1" applyFill="1"/>
    <xf numFmtId="164" fontId="0" fillId="0" borderId="0" xfId="0" applyNumberFormat="1"/>
    <xf numFmtId="164" fontId="5" fillId="3" borderId="0" xfId="0" applyNumberFormat="1" applyFont="1" applyFill="1"/>
    <xf numFmtId="9" fontId="5" fillId="3" borderId="0" xfId="1" applyFont="1" applyFill="1"/>
    <xf numFmtId="43" fontId="0" fillId="0" borderId="0" xfId="2" applyFont="1"/>
    <xf numFmtId="44" fontId="0" fillId="0" borderId="0" xfId="2" applyNumberFormat="1" applyFont="1"/>
    <xf numFmtId="0" fontId="0" fillId="0" borderId="0" xfId="0" pivotButton="1"/>
    <xf numFmtId="0" fontId="0" fillId="0" borderId="0" xfId="0" applyAlignment="1">
      <alignment horizontal="left"/>
    </xf>
    <xf numFmtId="0" fontId="0" fillId="4" borderId="0" xfId="0" applyFill="1"/>
    <xf numFmtId="9" fontId="0" fillId="0" borderId="0" xfId="0" applyNumberFormat="1"/>
    <xf numFmtId="14" fontId="0" fillId="0" borderId="0" xfId="0" applyNumberFormat="1" applyAlignment="1">
      <alignment horizontal="left"/>
    </xf>
    <xf numFmtId="164" fontId="0" fillId="0" borderId="0" xfId="0" applyNumberFormat="1" applyAlignment="1">
      <alignment horizontal="center"/>
    </xf>
    <xf numFmtId="0" fontId="3" fillId="2" borderId="0" xfId="0" applyFont="1" applyFill="1" applyAlignment="1">
      <alignment horizontal="center"/>
    </xf>
    <xf numFmtId="0" fontId="6" fillId="2" borderId="0" xfId="0" applyFont="1" applyFill="1" applyAlignment="1">
      <alignment horizontal="center"/>
    </xf>
    <xf numFmtId="164" fontId="3" fillId="2" borderId="0" xfId="0" applyNumberFormat="1" applyFont="1" applyFill="1" applyAlignment="1">
      <alignment horizontal="center" vertical="top"/>
    </xf>
  </cellXfs>
  <cellStyles count="3">
    <cellStyle name="Comma" xfId="2" builtinId="3"/>
    <cellStyle name="Normal" xfId="0" builtinId="0"/>
    <cellStyle name="Percent" xfId="1" builtinId="5"/>
  </cellStyles>
  <dxfs count="47">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fill>
        <patternFill>
          <bgColor rgb="FF111827"/>
        </patternFill>
      </fill>
    </dxf>
    <dxf>
      <fill>
        <patternFill>
          <bgColor theme="4" tint="-0.24994659260841701"/>
        </patternFill>
      </fill>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34" formatCode="_ &quot;₹&quot;\ * #,##0.00_ ;_ &quot;₹&quot;\ * \-#,##0.00_ ;_ &quot;₹&quot;\ * &quot;-&quot;??_ ;_ @_ "/>
    </dxf>
    <dxf>
      <numFmt numFmtId="0" formatCode="General"/>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ill>
        <patternFill>
          <bgColor theme="9" tint="0.3999450666829432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3" formatCode="0%"/>
    </dxf>
    <dxf>
      <font>
        <b val="0"/>
        <i val="0"/>
        <strike val="0"/>
        <condense val="0"/>
        <extend val="0"/>
        <outline val="0"/>
        <shadow val="0"/>
        <u val="none"/>
        <vertAlign val="baseline"/>
        <sz val="11"/>
        <color theme="1"/>
        <name val="Aptos Narrow"/>
        <family val="2"/>
        <scheme val="minor"/>
      </font>
      <numFmt numFmtId="34" formatCode="_ &quot;₹&quot;\ * #,##0.00_ ;_ &quot;₹&quot;\ * \-#,##0.00_ ;_ &quot;₹&quot;\ * &quot;-&quot;??_ ;_ @_ "/>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9" formatCode="dd/mm/yy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color rgb="FF006100"/>
      </font>
      <fill>
        <patternFill>
          <bgColor rgb="FFC6EFCE"/>
        </patternFill>
      </fill>
    </dxf>
    <dxf>
      <fill>
        <patternFill>
          <bgColor theme="3" tint="0.24994659260841701"/>
        </patternFill>
      </fill>
    </dxf>
    <dxf>
      <font>
        <color rgb="FF9C0006"/>
      </font>
      <fill>
        <patternFill>
          <bgColor rgb="FFFFC7CE"/>
        </patternFill>
      </fill>
    </dxf>
  </dxfs>
  <tableStyles count="5" defaultTableStyle="TableStyleMedium2" defaultPivotStyle="PivotStyleLight16">
    <tableStyle name="Slicer Style 1" pivot="0" table="0" count="0" xr9:uid="{D64DE9BF-70B7-4154-B05C-977B72E489DE}"/>
    <tableStyle name="Slicer Style 2" pivot="0" table="0" count="1" xr9:uid="{C72603D8-0250-475B-968E-6DE7523A8F0A}">
      <tableStyleElement type="wholeTable" dxfId="12"/>
    </tableStyle>
    <tableStyle name="Slicer Style 3" pivot="0" table="0" count="0" xr9:uid="{0BA89B8C-4669-4E17-A41A-D66071820E84}"/>
    <tableStyle name="Slicer Style 4" pivot="0" table="0" count="1" xr9:uid="{D55475B8-2826-4850-BBEE-F95A3549BB8D}">
      <tableStyleElement type="wholeTable" dxfId="11"/>
    </tableStyle>
    <tableStyle name="Slicer Style 5" pivot="0" table="0" count="0" xr9:uid="{D0D7F882-2724-47E2-9F37-DDD9A69F4C32}"/>
  </tableStyles>
  <colors>
    <mruColors>
      <color rgb="FF111827"/>
      <color rgb="FF1F2937"/>
      <color rgb="FF6B7280"/>
      <color rgb="FFEF4444"/>
      <color rgb="FF0B2345"/>
      <color rgb="FF1E293B"/>
      <color rgb="FF0F2B5B"/>
      <color rgb="FFD1D5DB"/>
      <color rgb="FF2563FB"/>
      <color rgb="FFF5F7FA"/>
    </mruColors>
  </colors>
  <extLst>
    <ext xmlns:x14="http://schemas.microsoft.com/office/spreadsheetml/2009/9/main" uri="{EB79DEF2-80B8-43e5-95BD-54CBDDF9020C}">
      <x14:slicerStyles defaultSlicerStyle="Slicer Style 3">
        <x14:slicerStyle name="Slicer Style 1"/>
        <x14:slicerStyle name="Slicer Style 2"/>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[Business_Expense_Tracker.xlsm]Pivot_data!ptMonth</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F4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s>
    <c:plotArea>
      <c:layout>
        <c:manualLayout>
          <c:layoutTarget val="inner"/>
          <c:xMode val="edge"/>
          <c:yMode val="edge"/>
          <c:x val="0.11542387955942301"/>
          <c:y val="5.7453703703703701E-2"/>
          <c:w val="0.85717036486671772"/>
          <c:h val="0.8401469087197434"/>
        </c:manualLayout>
      </c:layout>
      <c:barChart>
        <c:barDir val="col"/>
        <c:grouping val="clustered"/>
        <c:varyColors val="0"/>
        <c:ser>
          <c:idx val="0"/>
          <c:order val="0"/>
          <c:tx>
            <c:strRef>
              <c:f>Pivot_data!$E$3:$E$4</c:f>
              <c:strCache>
                <c:ptCount val="1"/>
                <c:pt idx="0">
                  <c:v>Expense</c:v>
                </c:pt>
              </c:strCache>
            </c:strRef>
          </c:tx>
          <c:spPr>
            <a:solidFill>
              <a:srgbClr val="EF44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Pivot_data!$D$5:$D$6</c:f>
              <c:strCache>
                <c:ptCount val="1"/>
                <c:pt idx="0">
                  <c:v>Jul</c:v>
                </c:pt>
              </c:strCache>
            </c:strRef>
          </c:cat>
          <c:val>
            <c:numRef>
              <c:f>Pivot_data!$E$5:$E$6</c:f>
              <c:numCache>
                <c:formatCode>_ "₹"\ * #,##0_ ;_ "₹"\ * \-#,##0_ ;_ "₹"\ * "-"??_ ;_ @_ </c:formatCode>
                <c:ptCount val="1"/>
                <c:pt idx="0">
                  <c:v>13000</c:v>
                </c:pt>
              </c:numCache>
            </c:numRef>
          </c:val>
          <c:extLst>
            <c:ext xmlns:c16="http://schemas.microsoft.com/office/drawing/2014/chart" uri="{C3380CC4-5D6E-409C-BE32-E72D297353CC}">
              <c16:uniqueId val="{00000000-278D-4DAE-A825-5EFCC79D57A3}"/>
            </c:ext>
          </c:extLst>
        </c:ser>
        <c:ser>
          <c:idx val="1"/>
          <c:order val="1"/>
          <c:tx>
            <c:strRef>
              <c:f>Pivot_data!$F$3:$F$4</c:f>
              <c:strCache>
                <c:ptCount val="1"/>
                <c:pt idx="0">
                  <c:v>Income</c:v>
                </c:pt>
              </c:strCache>
            </c:strRef>
          </c:tx>
          <c:spPr>
            <a:solidFill>
              <a:schemeClr val="tx2">
                <a:lumMod val="25000"/>
                <a:lumOff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Pivot_data!$D$5:$D$6</c:f>
              <c:strCache>
                <c:ptCount val="1"/>
                <c:pt idx="0">
                  <c:v>Jul</c:v>
                </c:pt>
              </c:strCache>
            </c:strRef>
          </c:cat>
          <c:val>
            <c:numRef>
              <c:f>Pivot_data!$F$5:$F$6</c:f>
              <c:numCache>
                <c:formatCode>_ "₹"\ * #,##0_ ;_ "₹"\ * \-#,##0_ ;_ "₹"\ * "-"??_ ;_ @_ </c:formatCode>
                <c:ptCount val="1"/>
                <c:pt idx="0">
                  <c:v>50000</c:v>
                </c:pt>
              </c:numCache>
            </c:numRef>
          </c:val>
          <c:extLst>
            <c:ext xmlns:c16="http://schemas.microsoft.com/office/drawing/2014/chart" uri="{C3380CC4-5D6E-409C-BE32-E72D297353CC}">
              <c16:uniqueId val="{00000001-278D-4DAE-A825-5EFCC79D57A3}"/>
            </c:ext>
          </c:extLst>
        </c:ser>
        <c:dLbls>
          <c:showLegendKey val="0"/>
          <c:showVal val="0"/>
          <c:showCatName val="0"/>
          <c:showSerName val="0"/>
          <c:showPercent val="0"/>
          <c:showBubbleSize val="0"/>
        </c:dLbls>
        <c:gapWidth val="140"/>
        <c:overlap val="-54"/>
        <c:axId val="2020458591"/>
        <c:axId val="2020460511"/>
      </c:barChart>
      <c:catAx>
        <c:axId val="202045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0460511"/>
        <c:crosses val="autoZero"/>
        <c:auto val="1"/>
        <c:lblAlgn val="ctr"/>
        <c:lblOffset val="100"/>
        <c:noMultiLvlLbl val="0"/>
      </c:catAx>
      <c:valAx>
        <c:axId val="2020460511"/>
        <c:scaling>
          <c:orientation val="minMax"/>
        </c:scaling>
        <c:delete val="0"/>
        <c:axPos val="l"/>
        <c:majorGridlines>
          <c:spPr>
            <a:ln w="9525" cap="flat" cmpd="sng" algn="ctr">
              <a:solidFill>
                <a:schemeClr val="bg2">
                  <a:lumMod val="7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2020458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[Business_Expense_Tracker.xlsm]Pivot_data!ptCategory</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56651485065189"/>
          <c:y val="5.0925747509392723E-2"/>
          <c:w val="0.72475147852012878"/>
          <c:h val="0.85059419655876345"/>
        </c:manualLayout>
      </c:layout>
      <c:barChart>
        <c:barDir val="bar"/>
        <c:grouping val="clustered"/>
        <c:varyColors val="0"/>
        <c:ser>
          <c:idx val="0"/>
          <c:order val="0"/>
          <c:tx>
            <c:strRef>
              <c:f>Pivot_data!$B$3:$B$4</c:f>
              <c:strCache>
                <c:ptCount val="1"/>
                <c:pt idx="0">
                  <c:v>Expense</c:v>
                </c:pt>
              </c:strCache>
            </c:strRef>
          </c:tx>
          <c:spPr>
            <a:solidFill>
              <a:schemeClr val="accent1"/>
            </a:solidFill>
            <a:ln>
              <a:noFill/>
            </a:ln>
            <a:effectLst/>
          </c:spPr>
          <c:invertIfNegative val="0"/>
          <c:cat>
            <c:strRef>
              <c:f>Pivot_data!$A$5:$A$9</c:f>
              <c:strCache>
                <c:ptCount val="4"/>
                <c:pt idx="0">
                  <c:v>Software</c:v>
                </c:pt>
                <c:pt idx="1">
                  <c:v>Travel</c:v>
                </c:pt>
                <c:pt idx="2">
                  <c:v>Office</c:v>
                </c:pt>
                <c:pt idx="3">
                  <c:v>Marketing</c:v>
                </c:pt>
              </c:strCache>
            </c:strRef>
          </c:cat>
          <c:val>
            <c:numRef>
              <c:f>Pivot_data!$B$5:$B$9</c:f>
              <c:numCache>
                <c:formatCode>_ "₹"\ * #,##0_ ;_ "₹"\ * \-#,##0_ ;_ "₹"\ * "-"??_ ;_ @_ </c:formatCode>
                <c:ptCount val="4"/>
                <c:pt idx="0">
                  <c:v>2000</c:v>
                </c:pt>
                <c:pt idx="1">
                  <c:v>2500</c:v>
                </c:pt>
                <c:pt idx="2">
                  <c:v>3500</c:v>
                </c:pt>
                <c:pt idx="3">
                  <c:v>5000</c:v>
                </c:pt>
              </c:numCache>
            </c:numRef>
          </c:val>
          <c:extLst>
            <c:ext xmlns:c16="http://schemas.microsoft.com/office/drawing/2014/chart" uri="{C3380CC4-5D6E-409C-BE32-E72D297353CC}">
              <c16:uniqueId val="{00000000-6267-4B0D-A1EC-12D067675484}"/>
            </c:ext>
          </c:extLst>
        </c:ser>
        <c:dLbls>
          <c:showLegendKey val="0"/>
          <c:showVal val="0"/>
          <c:showCatName val="0"/>
          <c:showSerName val="0"/>
          <c:showPercent val="0"/>
          <c:showBubbleSize val="0"/>
        </c:dLbls>
        <c:gapWidth val="182"/>
        <c:axId val="412995616"/>
        <c:axId val="413008096"/>
      </c:barChart>
      <c:catAx>
        <c:axId val="412995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3008096"/>
        <c:crosses val="autoZero"/>
        <c:auto val="1"/>
        <c:lblAlgn val="ctr"/>
        <c:lblOffset val="100"/>
        <c:noMultiLvlLbl val="0"/>
      </c:catAx>
      <c:valAx>
        <c:axId val="413008096"/>
        <c:scaling>
          <c:orientation val="minMax"/>
        </c:scaling>
        <c:delete val="0"/>
        <c:axPos val="b"/>
        <c:majorGridlines>
          <c:spPr>
            <a:ln w="9525" cap="flat" cmpd="sng" algn="ctr">
              <a:solidFill>
                <a:schemeClr val="tx1">
                  <a:lumMod val="15000"/>
                  <a:lumOff val="8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412995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45631864775307"/>
          <c:y val="5.5555555555555552E-2"/>
          <c:w val="0.80807622038446347"/>
          <c:h val="0.76306758530183727"/>
        </c:manualLayout>
      </c:layout>
      <c:barChart>
        <c:barDir val="bar"/>
        <c:grouping val="clustered"/>
        <c:varyColors val="0"/>
        <c:ser>
          <c:idx val="0"/>
          <c:order val="0"/>
          <c:tx>
            <c:v>Series1</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Travel</c:v>
              </c:pt>
              <c:pt idx="1">
                <c:v>Marketing</c:v>
              </c:pt>
              <c:pt idx="2">
                <c:v>Office</c:v>
              </c:pt>
              <c:pt idx="3">
                <c:v>Software</c:v>
              </c:pt>
              <c:pt idx="4">
                <c:v>Taxes</c:v>
              </c:pt>
              <c:pt idx="5">
                <c:v>Utilities</c:v>
              </c:pt>
              <c:pt idx="6">
                <c:v>Salary</c:v>
              </c:pt>
            </c:strLit>
          </c:cat>
          <c:val>
            <c:numLit>
              <c:formatCode>General</c:formatCode>
              <c:ptCount val="7"/>
              <c:pt idx="0">
                <c:v>0.25</c:v>
              </c:pt>
              <c:pt idx="1">
                <c:v>0.25</c:v>
              </c:pt>
              <c:pt idx="2">
                <c:v>0.23333333333333334</c:v>
              </c:pt>
              <c:pt idx="3">
                <c:v>0.2</c:v>
              </c:pt>
              <c:pt idx="4">
                <c:v>0</c:v>
              </c:pt>
              <c:pt idx="5">
                <c:v>0</c:v>
              </c:pt>
              <c:pt idx="6">
                <c:v>0</c:v>
              </c:pt>
            </c:numLit>
          </c:val>
          <c:extLst>
            <c:ext xmlns:c16="http://schemas.microsoft.com/office/drawing/2014/chart" uri="{C3380CC4-5D6E-409C-BE32-E72D297353CC}">
              <c16:uniqueId val="{00000000-5453-45E3-8485-551AD66B369A}"/>
            </c:ext>
          </c:extLst>
        </c:ser>
        <c:dLbls>
          <c:showLegendKey val="0"/>
          <c:showVal val="0"/>
          <c:showCatName val="0"/>
          <c:showSerName val="0"/>
          <c:showPercent val="0"/>
          <c:showBubbleSize val="0"/>
        </c:dLbls>
        <c:gapWidth val="182"/>
        <c:axId val="413058016"/>
        <c:axId val="413066656"/>
      </c:barChart>
      <c:catAx>
        <c:axId val="413058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6656"/>
        <c:crosses val="autoZero"/>
        <c:auto val="1"/>
        <c:lblAlgn val="ctr"/>
        <c:lblOffset val="100"/>
        <c:noMultiLvlLbl val="0"/>
      </c:catAx>
      <c:valAx>
        <c:axId val="413066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58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5"/>
              <c:pt idx="0">
                <c:v>ABC Ltd</c:v>
              </c:pt>
              <c:pt idx="1">
                <c:v>HP Electricity Board</c:v>
              </c:pt>
              <c:pt idx="2">
                <c:v>Indian Oil</c:v>
              </c:pt>
              <c:pt idx="3">
                <c:v>Meta</c:v>
              </c:pt>
              <c:pt idx="4">
                <c:v>OpenAI</c:v>
              </c:pt>
            </c:strLit>
          </c:cat>
          <c:val>
            <c:numLit>
              <c:formatCode>General</c:formatCode>
              <c:ptCount val="5"/>
              <c:pt idx="0">
                <c:v>0</c:v>
              </c:pt>
              <c:pt idx="1">
                <c:v>3500</c:v>
              </c:pt>
              <c:pt idx="2">
                <c:v>2500</c:v>
              </c:pt>
              <c:pt idx="3">
                <c:v>5000</c:v>
              </c:pt>
              <c:pt idx="4">
                <c:v>2000</c:v>
              </c:pt>
            </c:numLit>
          </c:val>
          <c:extLst>
            <c:ext xmlns:c16="http://schemas.microsoft.com/office/drawing/2014/chart" uri="{C3380CC4-5D6E-409C-BE32-E72D297353CC}">
              <c16:uniqueId val="{00000000-9930-4965-B63A-3D941F027958}"/>
            </c:ext>
          </c:extLst>
        </c:ser>
        <c:dLbls>
          <c:showLegendKey val="0"/>
          <c:showVal val="0"/>
          <c:showCatName val="0"/>
          <c:showSerName val="0"/>
          <c:showPercent val="0"/>
          <c:showBubbleSize val="0"/>
        </c:dLbls>
        <c:gapWidth val="150"/>
        <c:axId val="1464552064"/>
        <c:axId val="1464568384"/>
      </c:barChart>
      <c:catAx>
        <c:axId val="146455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68384"/>
        <c:crosses val="autoZero"/>
        <c:auto val="1"/>
        <c:lblAlgn val="ctr"/>
        <c:lblOffset val="100"/>
        <c:noMultiLvlLbl val="0"/>
      </c:catAx>
      <c:valAx>
        <c:axId val="146456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52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[Business_Expense_Tracker.xlsm]Pivot_data!PivotTable7</c:name>
    <c:fmtId val="2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Pivot_data!$E$17:$E$18</c:f>
              <c:strCache>
                <c:ptCount val="1"/>
                <c:pt idx="0">
                  <c:v>Expense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Pivot_data!$D$19:$D$24</c:f>
              <c:strCache>
                <c:ptCount val="5"/>
                <c:pt idx="0">
                  <c:v>01-07-2026</c:v>
                </c:pt>
                <c:pt idx="1">
                  <c:v>02-07-2026</c:v>
                </c:pt>
                <c:pt idx="2">
                  <c:v>03-07-2026</c:v>
                </c:pt>
                <c:pt idx="3">
                  <c:v>04-07-2026</c:v>
                </c:pt>
                <c:pt idx="4">
                  <c:v>05-07-2026</c:v>
                </c:pt>
              </c:strCache>
            </c:strRef>
          </c:cat>
          <c:val>
            <c:numRef>
              <c:f>Pivot_data!$E$19:$E$24</c:f>
              <c:numCache>
                <c:formatCode>_ "₹"\ * #,##0_ ;_ "₹"\ * \-#,##0_ ;_ "₹"\ * "-"??_ ;_ @_ </c:formatCode>
                <c:ptCount val="5"/>
                <c:pt idx="0">
                  <c:v>5000</c:v>
                </c:pt>
                <c:pt idx="1">
                  <c:v>2000</c:v>
                </c:pt>
                <c:pt idx="3">
                  <c:v>3500</c:v>
                </c:pt>
                <c:pt idx="4">
                  <c:v>2500</c:v>
                </c:pt>
              </c:numCache>
            </c:numRef>
          </c:val>
          <c:smooth val="0"/>
          <c:extLst>
            <c:ext xmlns:c16="http://schemas.microsoft.com/office/drawing/2014/chart" uri="{C3380CC4-5D6E-409C-BE32-E72D297353CC}">
              <c16:uniqueId val="{00000000-01F8-4255-8727-C359D7F3E360}"/>
            </c:ext>
          </c:extLst>
        </c:ser>
        <c:ser>
          <c:idx val="1"/>
          <c:order val="1"/>
          <c:tx>
            <c:strRef>
              <c:f>Pivot_data!$F$17:$F$18</c:f>
              <c:strCache>
                <c:ptCount val="1"/>
                <c:pt idx="0">
                  <c:v>Income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Pivot_data!$D$19:$D$24</c:f>
              <c:strCache>
                <c:ptCount val="5"/>
                <c:pt idx="0">
                  <c:v>01-07-2026</c:v>
                </c:pt>
                <c:pt idx="1">
                  <c:v>02-07-2026</c:v>
                </c:pt>
                <c:pt idx="2">
                  <c:v>03-07-2026</c:v>
                </c:pt>
                <c:pt idx="3">
                  <c:v>04-07-2026</c:v>
                </c:pt>
                <c:pt idx="4">
                  <c:v>05-07-2026</c:v>
                </c:pt>
              </c:strCache>
            </c:strRef>
          </c:cat>
          <c:val>
            <c:numRef>
              <c:f>Pivot_data!$F$19:$F$24</c:f>
              <c:numCache>
                <c:formatCode>_ "₹"\ * #,##0_ ;_ "₹"\ * \-#,##0_ ;_ "₹"\ * "-"??_ ;_ @_ </c:formatCode>
                <c:ptCount val="5"/>
                <c:pt idx="2">
                  <c:v>50000</c:v>
                </c:pt>
              </c:numCache>
            </c:numRef>
          </c:val>
          <c:smooth val="0"/>
          <c:extLst>
            <c:ext xmlns:c16="http://schemas.microsoft.com/office/drawing/2014/chart" uri="{C3380CC4-5D6E-409C-BE32-E72D297353CC}">
              <c16:uniqueId val="{00000001-01F8-4255-8727-C359D7F3E360}"/>
            </c:ext>
          </c:extLst>
        </c:ser>
        <c:dLbls>
          <c:showLegendKey val="0"/>
          <c:showVal val="0"/>
          <c:showCatName val="0"/>
          <c:showSerName val="0"/>
          <c:showPercent val="0"/>
          <c:showBubbleSize val="0"/>
        </c:dLbls>
        <c:marker val="1"/>
        <c:smooth val="0"/>
        <c:axId val="1464613024"/>
        <c:axId val="1464629344"/>
      </c:lineChart>
      <c:catAx>
        <c:axId val="146461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629344"/>
        <c:crosses val="autoZero"/>
        <c:auto val="1"/>
        <c:lblAlgn val="ctr"/>
        <c:lblOffset val="100"/>
        <c:noMultiLvlLbl val="0"/>
      </c:catAx>
      <c:valAx>
        <c:axId val="1464629344"/>
        <c:scaling>
          <c:orientation val="minMax"/>
        </c:scaling>
        <c:delete val="0"/>
        <c:axPos val="l"/>
        <c:majorGridlines>
          <c:spPr>
            <a:ln w="9525" cap="flat" cmpd="sng" algn="ctr">
              <a:solidFill>
                <a:schemeClr val="tx1">
                  <a:lumMod val="15000"/>
                  <a:lumOff val="8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613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982980</xdr:colOff>
      <xdr:row>29</xdr:row>
      <xdr:rowOff>274320</xdr:rowOff>
    </xdr:to>
    <xdr:sp macro="" textlink="">
      <xdr:nvSpPr>
        <xdr:cNvPr id="2" name="Rectangle 1">
          <a:extLst>
            <a:ext uri="{FF2B5EF4-FFF2-40B4-BE49-F238E27FC236}">
              <a16:creationId xmlns:a16="http://schemas.microsoft.com/office/drawing/2014/main" id="{AC653DF4-3875-ED29-54F7-4C864908E878}"/>
            </a:ext>
          </a:extLst>
        </xdr:cNvPr>
        <xdr:cNvSpPr/>
      </xdr:nvSpPr>
      <xdr:spPr>
        <a:xfrm>
          <a:off x="0" y="0"/>
          <a:ext cx="2209800" cy="9433560"/>
        </a:xfrm>
        <a:prstGeom prst="rect">
          <a:avLst/>
        </a:prstGeom>
        <a:solidFill>
          <a:srgbClr val="11182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190500</xdr:colOff>
      <xdr:row>2</xdr:row>
      <xdr:rowOff>0</xdr:rowOff>
    </xdr:from>
    <xdr:to>
      <xdr:col>3</xdr:col>
      <xdr:colOff>327240</xdr:colOff>
      <xdr:row>4</xdr:row>
      <xdr:rowOff>315360</xdr:rowOff>
    </xdr:to>
    <xdr:sp macro="" textlink="">
      <xdr:nvSpPr>
        <xdr:cNvPr id="3" name="Rectangle: Rounded Corners 2">
          <a:extLst>
            <a:ext uri="{FF2B5EF4-FFF2-40B4-BE49-F238E27FC236}">
              <a16:creationId xmlns:a16="http://schemas.microsoft.com/office/drawing/2014/main" id="{3022D749-DA67-A651-C275-B5438911FEB6}"/>
            </a:ext>
          </a:extLst>
        </xdr:cNvPr>
        <xdr:cNvSpPr/>
      </xdr:nvSpPr>
      <xdr:spPr>
        <a:xfrm>
          <a:off x="190500" y="320040"/>
          <a:ext cx="1836000" cy="810660"/>
        </a:xfrm>
        <a:prstGeom prst="roundRect">
          <a:avLst>
            <a:gd name="adj" fmla="val 28887"/>
          </a:avLst>
        </a:prstGeom>
        <a:solidFill>
          <a:srgbClr val="1E29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t>BF</a:t>
          </a:r>
        </a:p>
        <a:p>
          <a:pPr algn="l"/>
          <a:r>
            <a:rPr lang="en-IN" sz="1200">
              <a:solidFill>
                <a:srgbClr val="D1D5DB"/>
              </a:solidFill>
              <a:latin typeface="+mn-lt"/>
              <a:ea typeface="+mn-ea"/>
              <a:cs typeface="+mn-cs"/>
            </a:rPr>
            <a:t>Business</a:t>
          </a:r>
          <a:r>
            <a:rPr lang="en-IN" sz="1200" b="1"/>
            <a:t> </a:t>
          </a:r>
          <a:r>
            <a:rPr lang="en-IN" sz="1200">
              <a:solidFill>
                <a:srgbClr val="D1D5DB"/>
              </a:solidFill>
              <a:latin typeface="+mn-lt"/>
              <a:ea typeface="+mn-ea"/>
              <a:cs typeface="+mn-cs"/>
            </a:rPr>
            <a:t>Finance</a:t>
          </a:r>
          <a:r>
            <a:rPr lang="en-IN" sz="1200" b="1"/>
            <a:t> </a:t>
          </a:r>
          <a:r>
            <a:rPr lang="en-IN" sz="1200">
              <a:solidFill>
                <a:srgbClr val="D1D5DB"/>
              </a:solidFill>
              <a:latin typeface="+mn-lt"/>
              <a:ea typeface="+mn-ea"/>
              <a:cs typeface="+mn-cs"/>
            </a:rPr>
            <a:t>OS</a:t>
          </a:r>
        </a:p>
      </xdr:txBody>
    </xdr:sp>
    <xdr:clientData/>
  </xdr:twoCellAnchor>
  <xdr:twoCellAnchor>
    <xdr:from>
      <xdr:col>0</xdr:col>
      <xdr:colOff>190500</xdr:colOff>
      <xdr:row>5</xdr:row>
      <xdr:rowOff>305628</xdr:rowOff>
    </xdr:from>
    <xdr:to>
      <xdr:col>3</xdr:col>
      <xdr:colOff>175260</xdr:colOff>
      <xdr:row>7</xdr:row>
      <xdr:rowOff>31308</xdr:rowOff>
    </xdr:to>
    <xdr:sp macro="" textlink="">
      <xdr:nvSpPr>
        <xdr:cNvPr id="5" name="Rectangle: Rounded Corners 4">
          <a:extLst>
            <a:ext uri="{FF2B5EF4-FFF2-40B4-BE49-F238E27FC236}">
              <a16:creationId xmlns:a16="http://schemas.microsoft.com/office/drawing/2014/main" id="{45EEDDFD-9D19-801C-957E-F9C606A62B8C}"/>
            </a:ext>
          </a:extLst>
        </xdr:cNvPr>
        <xdr:cNvSpPr/>
      </xdr:nvSpPr>
      <xdr:spPr>
        <a:xfrm>
          <a:off x="190500" y="1448628"/>
          <a:ext cx="1684020" cy="381000"/>
        </a:xfrm>
        <a:prstGeom prst="roundRect">
          <a:avLst>
            <a:gd name="adj" fmla="val 42667"/>
          </a:avLst>
        </a:prstGeom>
        <a:solidFill>
          <a:srgbClr val="2563F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DASHBOARD </a:t>
          </a:r>
        </a:p>
      </xdr:txBody>
    </xdr:sp>
    <xdr:clientData/>
  </xdr:twoCellAnchor>
  <xdr:twoCellAnchor>
    <xdr:from>
      <xdr:col>0</xdr:col>
      <xdr:colOff>190500</xdr:colOff>
      <xdr:row>8</xdr:row>
      <xdr:rowOff>21576</xdr:rowOff>
    </xdr:from>
    <xdr:to>
      <xdr:col>3</xdr:col>
      <xdr:colOff>175260</xdr:colOff>
      <xdr:row>9</xdr:row>
      <xdr:rowOff>74916</xdr:rowOff>
    </xdr:to>
    <xdr:sp macro="" textlink="">
      <xdr:nvSpPr>
        <xdr:cNvPr id="6" name="Rectangle: Rounded Corners 5">
          <a:extLst>
            <a:ext uri="{FF2B5EF4-FFF2-40B4-BE49-F238E27FC236}">
              <a16:creationId xmlns:a16="http://schemas.microsoft.com/office/drawing/2014/main" id="{27DC73AA-6493-D4DD-7A41-A5F3E34CA6D6}"/>
            </a:ext>
          </a:extLst>
        </xdr:cNvPr>
        <xdr:cNvSpPr/>
      </xdr:nvSpPr>
      <xdr:spPr>
        <a:xfrm>
          <a:off x="190500" y="2299956"/>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Transactions </a:t>
          </a:r>
        </a:p>
      </xdr:txBody>
    </xdr:sp>
    <xdr:clientData/>
  </xdr:twoCellAnchor>
  <xdr:twoCellAnchor>
    <xdr:from>
      <xdr:col>0</xdr:col>
      <xdr:colOff>190500</xdr:colOff>
      <xdr:row>10</xdr:row>
      <xdr:rowOff>65184</xdr:rowOff>
    </xdr:from>
    <xdr:to>
      <xdr:col>3</xdr:col>
      <xdr:colOff>175260</xdr:colOff>
      <xdr:row>11</xdr:row>
      <xdr:rowOff>118524</xdr:rowOff>
    </xdr:to>
    <xdr:sp macro="" textlink="">
      <xdr:nvSpPr>
        <xdr:cNvPr id="7" name="Rectangle: Rounded Corners 6">
          <a:extLst>
            <a:ext uri="{FF2B5EF4-FFF2-40B4-BE49-F238E27FC236}">
              <a16:creationId xmlns:a16="http://schemas.microsoft.com/office/drawing/2014/main" id="{20DFF699-382B-E248-2BE7-7BEE746EFB36}"/>
            </a:ext>
          </a:extLst>
        </xdr:cNvPr>
        <xdr:cNvSpPr/>
      </xdr:nvSpPr>
      <xdr:spPr>
        <a:xfrm>
          <a:off x="190500" y="2998884"/>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Reports</a:t>
          </a:r>
        </a:p>
        <a:p>
          <a:pPr algn="l"/>
          <a:endParaRPr lang="en-IN" sz="1100"/>
        </a:p>
      </xdr:txBody>
    </xdr:sp>
    <xdr:clientData/>
  </xdr:twoCellAnchor>
  <xdr:twoCellAnchor>
    <xdr:from>
      <xdr:col>0</xdr:col>
      <xdr:colOff>190500</xdr:colOff>
      <xdr:row>12</xdr:row>
      <xdr:rowOff>108792</xdr:rowOff>
    </xdr:from>
    <xdr:to>
      <xdr:col>3</xdr:col>
      <xdr:colOff>175260</xdr:colOff>
      <xdr:row>13</xdr:row>
      <xdr:rowOff>162132</xdr:rowOff>
    </xdr:to>
    <xdr:sp macro="" textlink="">
      <xdr:nvSpPr>
        <xdr:cNvPr id="8" name="Rectangle: Rounded Corners 7">
          <a:extLst>
            <a:ext uri="{FF2B5EF4-FFF2-40B4-BE49-F238E27FC236}">
              <a16:creationId xmlns:a16="http://schemas.microsoft.com/office/drawing/2014/main" id="{D467FDFC-47B2-EE3A-4576-F69AA22A3F31}"/>
            </a:ext>
          </a:extLst>
        </xdr:cNvPr>
        <xdr:cNvSpPr/>
      </xdr:nvSpPr>
      <xdr:spPr>
        <a:xfrm>
          <a:off x="190500" y="3697812"/>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🛞Settings</a:t>
          </a:r>
        </a:p>
      </xdr:txBody>
    </xdr:sp>
    <xdr:clientData/>
  </xdr:twoCellAnchor>
  <xdr:twoCellAnchor>
    <xdr:from>
      <xdr:col>0</xdr:col>
      <xdr:colOff>190500</xdr:colOff>
      <xdr:row>14</xdr:row>
      <xdr:rowOff>152400</xdr:rowOff>
    </xdr:from>
    <xdr:to>
      <xdr:col>3</xdr:col>
      <xdr:colOff>175260</xdr:colOff>
      <xdr:row>15</xdr:row>
      <xdr:rowOff>205740</xdr:rowOff>
    </xdr:to>
    <xdr:sp macro="[0]!RefreshDashboard" textlink="">
      <xdr:nvSpPr>
        <xdr:cNvPr id="9" name="Rectangle: Rounded Corners 8">
          <a:extLst>
            <a:ext uri="{FF2B5EF4-FFF2-40B4-BE49-F238E27FC236}">
              <a16:creationId xmlns:a16="http://schemas.microsoft.com/office/drawing/2014/main" id="{B3ABCA13-C214-126C-3327-F3B2208BFA67}"/>
            </a:ext>
          </a:extLst>
        </xdr:cNvPr>
        <xdr:cNvSpPr/>
      </xdr:nvSpPr>
      <xdr:spPr>
        <a:xfrm>
          <a:off x="190500" y="4396740"/>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🔄️Refresh</a:t>
          </a:r>
        </a:p>
      </xdr:txBody>
    </xdr:sp>
    <xdr:clientData/>
  </xdr:twoCellAnchor>
  <xdr:twoCellAnchor>
    <xdr:from>
      <xdr:col>5</xdr:col>
      <xdr:colOff>0</xdr:colOff>
      <xdr:row>0</xdr:row>
      <xdr:rowOff>53340</xdr:rowOff>
    </xdr:from>
    <xdr:to>
      <xdr:col>16</xdr:col>
      <xdr:colOff>0</xdr:colOff>
      <xdr:row>3</xdr:row>
      <xdr:rowOff>129540</xdr:rowOff>
    </xdr:to>
    <xdr:sp macro="" textlink="">
      <xdr:nvSpPr>
        <xdr:cNvPr id="10" name="Rectangle: Rounded Corners 9">
          <a:extLst>
            <a:ext uri="{FF2B5EF4-FFF2-40B4-BE49-F238E27FC236}">
              <a16:creationId xmlns:a16="http://schemas.microsoft.com/office/drawing/2014/main" id="{52F2B1D0-1EC7-1FF4-3EAC-F9D7B488DAA7}"/>
            </a:ext>
          </a:extLst>
        </xdr:cNvPr>
        <xdr:cNvSpPr/>
      </xdr:nvSpPr>
      <xdr:spPr>
        <a:xfrm>
          <a:off x="2758440" y="53340"/>
          <a:ext cx="11254740" cy="731520"/>
        </a:xfrm>
        <a:prstGeom prst="roundRect">
          <a:avLst>
            <a:gd name="adj" fmla="val 29027"/>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solidFill>
                <a:srgbClr val="111827"/>
              </a:solidFill>
            </a:rPr>
            <a:t>Business finance Dashboard</a:t>
          </a:r>
        </a:p>
        <a:p>
          <a:pPr algn="l"/>
          <a:r>
            <a:rPr lang="en-IN" sz="1000">
              <a:solidFill>
                <a:srgbClr val="6B7280"/>
              </a:solidFill>
            </a:rPr>
            <a:t>Real-time</a:t>
          </a:r>
          <a:r>
            <a:rPr lang="en-IN" sz="1000" baseline="0">
              <a:solidFill>
                <a:srgbClr val="6B7280"/>
              </a:solidFill>
            </a:rPr>
            <a:t> Financial overview</a:t>
          </a:r>
          <a:endParaRPr lang="en-IN" sz="1000">
            <a:solidFill>
              <a:srgbClr val="6B7280"/>
            </a:solidFill>
          </a:endParaRPr>
        </a:p>
      </xdr:txBody>
    </xdr:sp>
    <xdr:clientData/>
  </xdr:twoCellAnchor>
  <xdr:twoCellAnchor>
    <xdr:from>
      <xdr:col>13</xdr:col>
      <xdr:colOff>251460</xdr:colOff>
      <xdr:row>0</xdr:row>
      <xdr:rowOff>76200</xdr:rowOff>
    </xdr:from>
    <xdr:to>
      <xdr:col>14</xdr:col>
      <xdr:colOff>82980</xdr:colOff>
      <xdr:row>2</xdr:row>
      <xdr:rowOff>36960</xdr:rowOff>
    </xdr:to>
    <xdr:sp macro="" textlink="">
      <xdr:nvSpPr>
        <xdr:cNvPr id="11" name="Rectangle: Rounded Corners 10">
          <a:extLst>
            <a:ext uri="{FF2B5EF4-FFF2-40B4-BE49-F238E27FC236}">
              <a16:creationId xmlns:a16="http://schemas.microsoft.com/office/drawing/2014/main" id="{414A10FD-3813-82DB-C4C9-C1D2E351BF47}"/>
            </a:ext>
          </a:extLst>
        </xdr:cNvPr>
        <xdr:cNvSpPr/>
      </xdr:nvSpPr>
      <xdr:spPr>
        <a:xfrm>
          <a:off x="11788140" y="76200"/>
          <a:ext cx="928800" cy="280800"/>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 July</a:t>
          </a:r>
        </a:p>
      </xdr:txBody>
    </xdr:sp>
    <xdr:clientData/>
  </xdr:twoCellAnchor>
  <xdr:twoCellAnchor>
    <xdr:from>
      <xdr:col>12</xdr:col>
      <xdr:colOff>213360</xdr:colOff>
      <xdr:row>0</xdr:row>
      <xdr:rowOff>76200</xdr:rowOff>
    </xdr:from>
    <xdr:to>
      <xdr:col>13</xdr:col>
      <xdr:colOff>44880</xdr:colOff>
      <xdr:row>2</xdr:row>
      <xdr:rowOff>36960</xdr:rowOff>
    </xdr:to>
    <xdr:sp macro="" textlink="">
      <xdr:nvSpPr>
        <xdr:cNvPr id="12" name="Rectangle: Rounded Corners 11">
          <a:extLst>
            <a:ext uri="{FF2B5EF4-FFF2-40B4-BE49-F238E27FC236}">
              <a16:creationId xmlns:a16="http://schemas.microsoft.com/office/drawing/2014/main" id="{33A89341-1524-ACC7-8AB7-0FDEB0BFD48A}"/>
            </a:ext>
          </a:extLst>
        </xdr:cNvPr>
        <xdr:cNvSpPr/>
      </xdr:nvSpPr>
      <xdr:spPr>
        <a:xfrm>
          <a:off x="10652760" y="76200"/>
          <a:ext cx="928800" cy="280800"/>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 Admin</a:t>
          </a:r>
        </a:p>
      </xdr:txBody>
    </xdr:sp>
    <xdr:clientData/>
  </xdr:twoCellAnchor>
  <xdr:twoCellAnchor>
    <xdr:from>
      <xdr:col>14</xdr:col>
      <xdr:colOff>232318</xdr:colOff>
      <xdr:row>0</xdr:row>
      <xdr:rowOff>76200</xdr:rowOff>
    </xdr:from>
    <xdr:to>
      <xdr:col>15</xdr:col>
      <xdr:colOff>129541</xdr:colOff>
      <xdr:row>2</xdr:row>
      <xdr:rowOff>34848</xdr:rowOff>
    </xdr:to>
    <xdr:sp macro="[0]!RefreshDashboard" textlink="">
      <xdr:nvSpPr>
        <xdr:cNvPr id="13" name="Rectangle: Rounded Corners 12">
          <a:extLst>
            <a:ext uri="{FF2B5EF4-FFF2-40B4-BE49-F238E27FC236}">
              <a16:creationId xmlns:a16="http://schemas.microsoft.com/office/drawing/2014/main" id="{7D7E82EE-BF6D-EEC2-746D-E68A77A2139F}"/>
            </a:ext>
          </a:extLst>
        </xdr:cNvPr>
        <xdr:cNvSpPr/>
      </xdr:nvSpPr>
      <xdr:spPr>
        <a:xfrm>
          <a:off x="12533507" y="76200"/>
          <a:ext cx="965882" cy="272276"/>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tx1"/>
              </a:solidFill>
              <a:effectLst/>
              <a:latin typeface="+mn-lt"/>
              <a:ea typeface="+mn-ea"/>
              <a:cs typeface="+mn-cs"/>
            </a:rPr>
            <a:t>🔄️REFRESH</a:t>
          </a:r>
          <a:endParaRPr lang="en-IN">
            <a:solidFill>
              <a:schemeClr val="tx1"/>
            </a:solidFill>
            <a:effectLst/>
          </a:endParaRPr>
        </a:p>
        <a:p>
          <a:pPr algn="l"/>
          <a:endParaRPr lang="en-IN" sz="1100">
            <a:solidFill>
              <a:schemeClr val="tx1"/>
            </a:solidFill>
          </a:endParaRPr>
        </a:p>
      </xdr:txBody>
    </xdr:sp>
    <xdr:clientData/>
  </xdr:twoCellAnchor>
  <xdr:twoCellAnchor>
    <xdr:from>
      <xdr:col>5</xdr:col>
      <xdr:colOff>133125</xdr:colOff>
      <xdr:row>5</xdr:row>
      <xdr:rowOff>17929</xdr:rowOff>
    </xdr:from>
    <xdr:to>
      <xdr:col>7</xdr:col>
      <xdr:colOff>58951</xdr:colOff>
      <xdr:row>7</xdr:row>
      <xdr:rowOff>82609</xdr:rowOff>
    </xdr:to>
    <xdr:sp macro="" textlink="">
      <xdr:nvSpPr>
        <xdr:cNvPr id="15" name="Rectangle: Rounded Corners 14">
          <a:extLst>
            <a:ext uri="{FF2B5EF4-FFF2-40B4-BE49-F238E27FC236}">
              <a16:creationId xmlns:a16="http://schemas.microsoft.com/office/drawing/2014/main" id="{C7BFDCC6-CB8D-0090-3428-FE3C53F78322}"/>
            </a:ext>
          </a:extLst>
        </xdr:cNvPr>
        <xdr:cNvSpPr/>
      </xdr:nvSpPr>
      <xdr:spPr>
        <a:xfrm>
          <a:off x="2894254" y="1156447"/>
          <a:ext cx="2113215"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rgbClr val="6B7280"/>
              </a:solidFill>
            </a:rPr>
            <a:t>Revenue                                           📉                                              </a:t>
          </a:r>
        </a:p>
        <a:p>
          <a:pPr algn="l"/>
          <a:endParaRPr lang="en-IN" sz="1400" b="1">
            <a:solidFill>
              <a:srgbClr val="111827"/>
            </a:solidFill>
          </a:endParaRPr>
        </a:p>
      </xdr:txBody>
    </xdr:sp>
    <xdr:clientData/>
  </xdr:twoCellAnchor>
  <xdr:twoCellAnchor>
    <xdr:from>
      <xdr:col>7</xdr:col>
      <xdr:colOff>914549</xdr:colOff>
      <xdr:row>5</xdr:row>
      <xdr:rowOff>17929</xdr:rowOff>
    </xdr:from>
    <xdr:to>
      <xdr:col>9</xdr:col>
      <xdr:colOff>836789</xdr:colOff>
      <xdr:row>7</xdr:row>
      <xdr:rowOff>82609</xdr:rowOff>
    </xdr:to>
    <xdr:sp macro="" textlink="">
      <xdr:nvSpPr>
        <xdr:cNvPr id="19" name="Rectangle: Rounded Corners 18">
          <a:extLst>
            <a:ext uri="{FF2B5EF4-FFF2-40B4-BE49-F238E27FC236}">
              <a16:creationId xmlns:a16="http://schemas.microsoft.com/office/drawing/2014/main" id="{1197BCBD-1C1C-0595-278B-0BA8E0F6C26B}"/>
            </a:ext>
          </a:extLst>
        </xdr:cNvPr>
        <xdr:cNvSpPr/>
      </xdr:nvSpPr>
      <xdr:spPr>
        <a:xfrm>
          <a:off x="5863067"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Expenses                                         💳</a:t>
          </a:r>
        </a:p>
        <a:p>
          <a:pPr marL="0" indent="0" algn="l"/>
          <a:endParaRPr lang="en-IN" sz="1000">
            <a:solidFill>
              <a:srgbClr val="6B7280"/>
            </a:solidFill>
            <a:latin typeface="+mn-lt"/>
            <a:ea typeface="+mn-ea"/>
            <a:cs typeface="+mn-cs"/>
          </a:endParaRPr>
        </a:p>
      </xdr:txBody>
    </xdr:sp>
    <xdr:clientData/>
  </xdr:twoCellAnchor>
  <xdr:twoCellAnchor>
    <xdr:from>
      <xdr:col>10</xdr:col>
      <xdr:colOff>598693</xdr:colOff>
      <xdr:row>5</xdr:row>
      <xdr:rowOff>17929</xdr:rowOff>
    </xdr:from>
    <xdr:to>
      <xdr:col>12</xdr:col>
      <xdr:colOff>520933</xdr:colOff>
      <xdr:row>7</xdr:row>
      <xdr:rowOff>82609</xdr:rowOff>
    </xdr:to>
    <xdr:sp macro="" textlink="">
      <xdr:nvSpPr>
        <xdr:cNvPr id="20" name="Rectangle: Rounded Corners 19">
          <a:extLst>
            <a:ext uri="{FF2B5EF4-FFF2-40B4-BE49-F238E27FC236}">
              <a16:creationId xmlns:a16="http://schemas.microsoft.com/office/drawing/2014/main" id="{FC81BF18-DB68-C576-46D7-15A7FD87E573}"/>
            </a:ext>
          </a:extLst>
        </xdr:cNvPr>
        <xdr:cNvSpPr/>
      </xdr:nvSpPr>
      <xdr:spPr>
        <a:xfrm>
          <a:off x="8828293"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Profit                                                   💰</a:t>
          </a:r>
        </a:p>
      </xdr:txBody>
    </xdr:sp>
    <xdr:clientData/>
  </xdr:twoCellAnchor>
  <xdr:twoCellAnchor>
    <xdr:from>
      <xdr:col>13</xdr:col>
      <xdr:colOff>282837</xdr:colOff>
      <xdr:row>5</xdr:row>
      <xdr:rowOff>17929</xdr:rowOff>
    </xdr:from>
    <xdr:to>
      <xdr:col>15</xdr:col>
      <xdr:colOff>205076</xdr:colOff>
      <xdr:row>7</xdr:row>
      <xdr:rowOff>82609</xdr:rowOff>
    </xdr:to>
    <xdr:sp macro="" textlink="">
      <xdr:nvSpPr>
        <xdr:cNvPr id="21" name="Rectangle: Rounded Corners 20">
          <a:extLst>
            <a:ext uri="{FF2B5EF4-FFF2-40B4-BE49-F238E27FC236}">
              <a16:creationId xmlns:a16="http://schemas.microsoft.com/office/drawing/2014/main" id="{3A907872-59FB-0124-67C3-726ABBCECE40}"/>
            </a:ext>
          </a:extLst>
        </xdr:cNvPr>
        <xdr:cNvSpPr/>
      </xdr:nvSpPr>
      <xdr:spPr>
        <a:xfrm>
          <a:off x="11793519"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Cash                                                   🏦</a:t>
          </a:r>
        </a:p>
      </xdr:txBody>
    </xdr:sp>
    <xdr:clientData/>
  </xdr:twoCellAnchor>
  <xdr:twoCellAnchor editAs="oneCell">
    <xdr:from>
      <xdr:col>9</xdr:col>
      <xdr:colOff>1028400</xdr:colOff>
      <xdr:row>11</xdr:row>
      <xdr:rowOff>205560</xdr:rowOff>
    </xdr:from>
    <xdr:to>
      <xdr:col>9</xdr:col>
      <xdr:colOff>1028760</xdr:colOff>
      <xdr:row>11</xdr:row>
      <xdr:rowOff>205920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
          <xdr14:nvContentPartPr>
            <xdr14:cNvPr id="29" name="Ink 28">
              <a:extLst>
                <a:ext uri="{FF2B5EF4-FFF2-40B4-BE49-F238E27FC236}">
                  <a16:creationId xmlns:a16="http://schemas.microsoft.com/office/drawing/2014/main" id="{7D969FB2-0D72-25E0-1C5A-CB1D0BF1CF9C}"/>
                </a:ext>
              </a:extLst>
            </xdr14:cNvPr>
            <xdr14:cNvContentPartPr/>
          </xdr14:nvContentPartPr>
          <xdr14:nvPr macro=""/>
          <xdr14:xfrm>
            <a:off x="8175960" y="3314520"/>
            <a:ext cx="360" cy="360"/>
          </xdr14:xfrm>
        </xdr:contentPart>
      </mc:Choice>
      <mc:Fallback xmlns="">
        <xdr:pic>
          <xdr:nvPicPr>
            <xdr:cNvPr id="29" name="Ink 28">
              <a:extLst>
                <a:ext uri="{FF2B5EF4-FFF2-40B4-BE49-F238E27FC236}">
                  <a16:creationId xmlns:a16="http://schemas.microsoft.com/office/drawing/2014/main" id="{7D969FB2-0D72-25E0-1C5A-CB1D0BF1CF9C}"/>
                </a:ext>
              </a:extLst>
            </xdr:cNvPr>
            <xdr:cNvPicPr/>
          </xdr:nvPicPr>
          <xdr:blipFill>
            <a:blip xmlns:r="http://schemas.openxmlformats.org/officeDocument/2006/relationships" r:embed="rId2"/>
            <a:stretch>
              <a:fillRect/>
            </a:stretch>
          </xdr:blipFill>
          <xdr:spPr>
            <a:xfrm>
              <a:off x="8167320" y="3260880"/>
              <a:ext cx="18000" cy="108000"/>
            </a:xfrm>
            <a:prstGeom prst="rect">
              <a:avLst/>
            </a:prstGeom>
          </xdr:spPr>
        </xdr:pic>
      </mc:Fallback>
    </mc:AlternateContent>
    <xdr:clientData/>
  </xdr:twoCellAnchor>
  <xdr:twoCellAnchor>
    <xdr:from>
      <xdr:col>7</xdr:col>
      <xdr:colOff>980432</xdr:colOff>
      <xdr:row>5</xdr:row>
      <xdr:rowOff>80929</xdr:rowOff>
    </xdr:from>
    <xdr:to>
      <xdr:col>7</xdr:col>
      <xdr:colOff>1016432</xdr:colOff>
      <xdr:row>7</xdr:row>
      <xdr:rowOff>19609</xdr:rowOff>
    </xdr:to>
    <xdr:sp macro="" textlink="">
      <xdr:nvSpPr>
        <xdr:cNvPr id="37" name="Rectangle 36">
          <a:extLst>
            <a:ext uri="{FF2B5EF4-FFF2-40B4-BE49-F238E27FC236}">
              <a16:creationId xmlns:a16="http://schemas.microsoft.com/office/drawing/2014/main" id="{46B33069-5CB5-294E-B5C6-88323761E44A}"/>
            </a:ext>
          </a:extLst>
        </xdr:cNvPr>
        <xdr:cNvSpPr/>
      </xdr:nvSpPr>
      <xdr:spPr>
        <a:xfrm>
          <a:off x="5928950" y="1219447"/>
          <a:ext cx="36000" cy="602068"/>
        </a:xfrm>
        <a:prstGeom prst="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168537</xdr:colOff>
      <xdr:row>5</xdr:row>
      <xdr:rowOff>80929</xdr:rowOff>
    </xdr:from>
    <xdr:to>
      <xdr:col>5</xdr:col>
      <xdr:colOff>204537</xdr:colOff>
      <xdr:row>7</xdr:row>
      <xdr:rowOff>19609</xdr:rowOff>
    </xdr:to>
    <xdr:sp macro="" textlink="">
      <xdr:nvSpPr>
        <xdr:cNvPr id="38" name="Rectangle 37">
          <a:extLst>
            <a:ext uri="{FF2B5EF4-FFF2-40B4-BE49-F238E27FC236}">
              <a16:creationId xmlns:a16="http://schemas.microsoft.com/office/drawing/2014/main" id="{ED067626-CA5A-0135-760D-FB0025F68176}"/>
            </a:ext>
          </a:extLst>
        </xdr:cNvPr>
        <xdr:cNvSpPr/>
      </xdr:nvSpPr>
      <xdr:spPr>
        <a:xfrm>
          <a:off x="2929666" y="1219447"/>
          <a:ext cx="36000" cy="602068"/>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657765</xdr:colOff>
      <xdr:row>5</xdr:row>
      <xdr:rowOff>80929</xdr:rowOff>
    </xdr:from>
    <xdr:to>
      <xdr:col>10</xdr:col>
      <xdr:colOff>693765</xdr:colOff>
      <xdr:row>7</xdr:row>
      <xdr:rowOff>19609</xdr:rowOff>
    </xdr:to>
    <xdr:sp macro="" textlink="">
      <xdr:nvSpPr>
        <xdr:cNvPr id="41" name="Rectangle 40">
          <a:extLst>
            <a:ext uri="{FF2B5EF4-FFF2-40B4-BE49-F238E27FC236}">
              <a16:creationId xmlns:a16="http://schemas.microsoft.com/office/drawing/2014/main" id="{BC4768F2-4B35-2A47-114B-736B82C51938}"/>
            </a:ext>
          </a:extLst>
        </xdr:cNvPr>
        <xdr:cNvSpPr/>
      </xdr:nvSpPr>
      <xdr:spPr>
        <a:xfrm>
          <a:off x="8887365" y="1219447"/>
          <a:ext cx="36000" cy="602068"/>
        </a:xfrm>
        <a:prstGeom prst="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339369</xdr:colOff>
      <xdr:row>5</xdr:row>
      <xdr:rowOff>80929</xdr:rowOff>
    </xdr:from>
    <xdr:to>
      <xdr:col>13</xdr:col>
      <xdr:colOff>385088</xdr:colOff>
      <xdr:row>7</xdr:row>
      <xdr:rowOff>19609</xdr:rowOff>
    </xdr:to>
    <xdr:sp macro="" textlink="">
      <xdr:nvSpPr>
        <xdr:cNvPr id="42" name="Rectangle 41">
          <a:extLst>
            <a:ext uri="{FF2B5EF4-FFF2-40B4-BE49-F238E27FC236}">
              <a16:creationId xmlns:a16="http://schemas.microsoft.com/office/drawing/2014/main" id="{BB608820-0834-2381-A598-5424EE38D336}"/>
            </a:ext>
          </a:extLst>
        </xdr:cNvPr>
        <xdr:cNvSpPr/>
      </xdr:nvSpPr>
      <xdr:spPr>
        <a:xfrm flipH="1">
          <a:off x="11850051" y="1219447"/>
          <a:ext cx="45719" cy="602068"/>
        </a:xfrm>
        <a:prstGeom prst="rect">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17930</xdr:colOff>
      <xdr:row>8</xdr:row>
      <xdr:rowOff>1</xdr:rowOff>
    </xdr:from>
    <xdr:to>
      <xdr:col>11</xdr:col>
      <xdr:colOff>0</xdr:colOff>
      <xdr:row>16</xdr:row>
      <xdr:rowOff>1</xdr:rowOff>
    </xdr:to>
    <xdr:sp macro="" textlink="">
      <xdr:nvSpPr>
        <xdr:cNvPr id="43" name="Rectangle: Rounded Corners 42">
          <a:extLst>
            <a:ext uri="{FF2B5EF4-FFF2-40B4-BE49-F238E27FC236}">
              <a16:creationId xmlns:a16="http://schemas.microsoft.com/office/drawing/2014/main" id="{03933403-2B77-8DDF-838D-97F74131C22D}"/>
            </a:ext>
          </a:extLst>
        </xdr:cNvPr>
        <xdr:cNvSpPr/>
      </xdr:nvSpPr>
      <xdr:spPr>
        <a:xfrm>
          <a:off x="2788839" y="2147456"/>
          <a:ext cx="6549125" cy="2660072"/>
        </a:xfrm>
        <a:prstGeom prst="roundRect">
          <a:avLst>
            <a:gd name="adj" fmla="val 6859"/>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rPr>
            <a:t>Monthly income vs expenses </a:t>
          </a:r>
        </a:p>
        <a:p>
          <a:pPr algn="l"/>
          <a:r>
            <a:rPr lang="en-IN" sz="1000">
              <a:solidFill>
                <a:srgbClr val="6B7280"/>
              </a:solidFill>
            </a:rPr>
            <a:t>Last</a:t>
          </a:r>
          <a:r>
            <a:rPr lang="en-IN" sz="1000" baseline="0">
              <a:solidFill>
                <a:srgbClr val="6B7280"/>
              </a:solidFill>
            </a:rPr>
            <a:t> 12 Months</a:t>
          </a:r>
          <a:endParaRPr lang="en-IN" sz="1000">
            <a:solidFill>
              <a:srgbClr val="6B7280"/>
            </a:solidFill>
          </a:endParaRPr>
        </a:p>
      </xdr:txBody>
    </xdr:sp>
    <xdr:clientData/>
  </xdr:twoCellAnchor>
  <xdr:twoCellAnchor>
    <xdr:from>
      <xdr:col>11</xdr:col>
      <xdr:colOff>502024</xdr:colOff>
      <xdr:row>8</xdr:row>
      <xdr:rowOff>1</xdr:rowOff>
    </xdr:from>
    <xdr:to>
      <xdr:col>16</xdr:col>
      <xdr:colOff>0</xdr:colOff>
      <xdr:row>16</xdr:row>
      <xdr:rowOff>0</xdr:rowOff>
    </xdr:to>
    <xdr:sp macro="" textlink="">
      <xdr:nvSpPr>
        <xdr:cNvPr id="44" name="Rectangle: Rounded Corners 43">
          <a:extLst>
            <a:ext uri="{FF2B5EF4-FFF2-40B4-BE49-F238E27FC236}">
              <a16:creationId xmlns:a16="http://schemas.microsoft.com/office/drawing/2014/main" id="{13764B6F-8038-49BA-A127-767BF3B889F0}"/>
            </a:ext>
          </a:extLst>
        </xdr:cNvPr>
        <xdr:cNvSpPr/>
      </xdr:nvSpPr>
      <xdr:spPr>
        <a:xfrm>
          <a:off x="9839988" y="2147456"/>
          <a:ext cx="4153103" cy="2660071"/>
        </a:xfrm>
        <a:prstGeom prst="roundRect">
          <a:avLst>
            <a:gd name="adj" fmla="val 7184"/>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Expenses</a:t>
          </a:r>
          <a:r>
            <a:rPr lang="en-IN" sz="1100">
              <a:solidFill>
                <a:srgbClr val="6B7280"/>
              </a:solidFill>
            </a:rPr>
            <a:t> </a:t>
          </a:r>
          <a:r>
            <a:rPr lang="en-IN" sz="1400">
              <a:solidFill>
                <a:srgbClr val="1F2937"/>
              </a:solidFill>
              <a:latin typeface="+mn-lt"/>
              <a:ea typeface="+mn-ea"/>
              <a:cs typeface="+mn-cs"/>
            </a:rPr>
            <a:t>Breakdown</a:t>
          </a:r>
        </a:p>
        <a:p>
          <a:pPr algn="l"/>
          <a:r>
            <a:rPr lang="en-IN" sz="1000">
              <a:solidFill>
                <a:srgbClr val="6B7280"/>
              </a:solidFill>
              <a:latin typeface="+mn-lt"/>
              <a:ea typeface="+mn-ea"/>
              <a:cs typeface="+mn-cs"/>
            </a:rPr>
            <a:t>By</a:t>
          </a:r>
          <a:r>
            <a:rPr lang="en-IN" sz="1100">
              <a:solidFill>
                <a:srgbClr val="6B7280"/>
              </a:solidFill>
            </a:rPr>
            <a:t> </a:t>
          </a:r>
          <a:r>
            <a:rPr lang="en-IN" sz="1000">
              <a:solidFill>
                <a:srgbClr val="6B7280"/>
              </a:solidFill>
              <a:latin typeface="+mn-lt"/>
              <a:ea typeface="+mn-ea"/>
              <a:cs typeface="+mn-cs"/>
            </a:rPr>
            <a:t>Category</a:t>
          </a:r>
        </a:p>
      </xdr:txBody>
    </xdr:sp>
    <xdr:clientData/>
  </xdr:twoCellAnchor>
  <xdr:twoCellAnchor>
    <xdr:from>
      <xdr:col>5</xdr:col>
      <xdr:colOff>0</xdr:colOff>
      <xdr:row>17</xdr:row>
      <xdr:rowOff>0</xdr:rowOff>
    </xdr:from>
    <xdr:to>
      <xdr:col>9</xdr:col>
      <xdr:colOff>1084730</xdr:colOff>
      <xdr:row>24</xdr:row>
      <xdr:rowOff>0</xdr:rowOff>
    </xdr:to>
    <xdr:sp macro="" textlink="">
      <xdr:nvSpPr>
        <xdr:cNvPr id="45" name="Rectangle: Rounded Corners 44">
          <a:extLst>
            <a:ext uri="{FF2B5EF4-FFF2-40B4-BE49-F238E27FC236}">
              <a16:creationId xmlns:a16="http://schemas.microsoft.com/office/drawing/2014/main" id="{5BB256D5-A06F-97EA-D590-845A1B38D691}"/>
            </a:ext>
          </a:extLst>
        </xdr:cNvPr>
        <xdr:cNvSpPr/>
      </xdr:nvSpPr>
      <xdr:spPr>
        <a:xfrm>
          <a:off x="2761129" y="5118847"/>
          <a:ext cx="5459507" cy="2321859"/>
        </a:xfrm>
        <a:prstGeom prst="roundRect">
          <a:avLst>
            <a:gd name="adj" fmla="val 11262"/>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rgbClr val="1F2937"/>
              </a:solidFill>
              <a:latin typeface="+mn-lt"/>
              <a:ea typeface="+mn-ea"/>
              <a:cs typeface="+mn-cs"/>
            </a:rPr>
            <a:t>Budget</a:t>
          </a:r>
          <a:r>
            <a:rPr lang="en-US" sz="1100">
              <a:solidFill>
                <a:srgbClr val="6B7280"/>
              </a:solidFill>
            </a:rPr>
            <a:t>  </a:t>
          </a:r>
          <a:r>
            <a:rPr lang="en-US" sz="1400">
              <a:solidFill>
                <a:srgbClr val="1F2937"/>
              </a:solidFill>
              <a:latin typeface="+mn-lt"/>
              <a:ea typeface="+mn-ea"/>
              <a:cs typeface="+mn-cs"/>
            </a:rPr>
            <a:t>Process</a:t>
          </a:r>
        </a:p>
        <a:p>
          <a:pPr algn="l"/>
          <a:r>
            <a:rPr lang="en-US" sz="1000">
              <a:solidFill>
                <a:srgbClr val="6B7280"/>
              </a:solidFill>
              <a:latin typeface="+mn-lt"/>
              <a:ea typeface="+mn-ea"/>
              <a:cs typeface="+mn-cs"/>
            </a:rPr>
            <a:t>Current</a:t>
          </a:r>
          <a:r>
            <a:rPr lang="en-US" sz="1100">
              <a:solidFill>
                <a:srgbClr val="6B7280"/>
              </a:solidFill>
            </a:rPr>
            <a:t> </a:t>
          </a:r>
          <a:r>
            <a:rPr lang="en-US" sz="1000">
              <a:solidFill>
                <a:srgbClr val="6B7280"/>
              </a:solidFill>
              <a:latin typeface="+mn-lt"/>
              <a:ea typeface="+mn-ea"/>
              <a:cs typeface="+mn-cs"/>
            </a:rPr>
            <a:t>Month</a:t>
          </a:r>
          <a:endParaRPr lang="en-IN" sz="1000">
            <a:solidFill>
              <a:srgbClr val="6B7280"/>
            </a:solidFill>
            <a:latin typeface="+mn-lt"/>
            <a:ea typeface="+mn-ea"/>
            <a:cs typeface="+mn-cs"/>
          </a:endParaRPr>
        </a:p>
      </xdr:txBody>
    </xdr:sp>
    <xdr:clientData/>
  </xdr:twoCellAnchor>
  <xdr:twoCellAnchor>
    <xdr:from>
      <xdr:col>10</xdr:col>
      <xdr:colOff>645897</xdr:colOff>
      <xdr:row>17</xdr:row>
      <xdr:rowOff>0</xdr:rowOff>
    </xdr:from>
    <xdr:to>
      <xdr:col>16</xdr:col>
      <xdr:colOff>0</xdr:colOff>
      <xdr:row>24</xdr:row>
      <xdr:rowOff>0</xdr:rowOff>
    </xdr:to>
    <xdr:sp macro="" textlink="">
      <xdr:nvSpPr>
        <xdr:cNvPr id="46" name="Rectangle: Rounded Corners 45">
          <a:extLst>
            <a:ext uri="{FF2B5EF4-FFF2-40B4-BE49-F238E27FC236}">
              <a16:creationId xmlns:a16="http://schemas.microsoft.com/office/drawing/2014/main" id="{E87C07AA-515F-DDD7-6186-3A283CC027E7}"/>
            </a:ext>
          </a:extLst>
        </xdr:cNvPr>
        <xdr:cNvSpPr/>
      </xdr:nvSpPr>
      <xdr:spPr>
        <a:xfrm>
          <a:off x="8875497" y="5118847"/>
          <a:ext cx="5100479" cy="2321859"/>
        </a:xfrm>
        <a:prstGeom prst="roundRect">
          <a:avLst>
            <a:gd name="adj" fmla="val 13964"/>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Top Expense</a:t>
          </a:r>
          <a:r>
            <a:rPr lang="en-IN" sz="1100">
              <a:solidFill>
                <a:srgbClr val="6B7280"/>
              </a:solidFill>
            </a:rPr>
            <a:t> </a:t>
          </a:r>
          <a:r>
            <a:rPr lang="en-IN" sz="1400">
              <a:solidFill>
                <a:srgbClr val="1F2937"/>
              </a:solidFill>
              <a:latin typeface="+mn-lt"/>
              <a:ea typeface="+mn-ea"/>
              <a:cs typeface="+mn-cs"/>
            </a:rPr>
            <a:t>Vendors</a:t>
          </a:r>
        </a:p>
        <a:p>
          <a:pPr algn="l"/>
          <a:r>
            <a:rPr lang="en-US" sz="1000">
              <a:solidFill>
                <a:srgbClr val="6B7280"/>
              </a:solidFill>
              <a:latin typeface="+mn-lt"/>
              <a:ea typeface="+mn-ea"/>
              <a:cs typeface="+mn-cs"/>
            </a:rPr>
            <a:t>Highest</a:t>
          </a:r>
          <a:r>
            <a:rPr lang="en-US" sz="1100">
              <a:solidFill>
                <a:srgbClr val="6B7280"/>
              </a:solidFill>
            </a:rPr>
            <a:t> </a:t>
          </a:r>
          <a:r>
            <a:rPr lang="en-US" sz="1000">
              <a:solidFill>
                <a:srgbClr val="6B7280"/>
              </a:solidFill>
              <a:latin typeface="+mn-lt"/>
              <a:ea typeface="+mn-ea"/>
              <a:cs typeface="+mn-cs"/>
            </a:rPr>
            <a:t>Expense</a:t>
          </a:r>
          <a:endParaRPr lang="en-IN" sz="1000">
            <a:solidFill>
              <a:srgbClr val="6B7280"/>
            </a:solidFill>
            <a:latin typeface="+mn-lt"/>
            <a:ea typeface="+mn-ea"/>
            <a:cs typeface="+mn-cs"/>
          </a:endParaRPr>
        </a:p>
      </xdr:txBody>
    </xdr:sp>
    <xdr:clientData/>
  </xdr:twoCellAnchor>
  <xdr:twoCellAnchor>
    <xdr:from>
      <xdr:col>5</xdr:col>
      <xdr:colOff>0</xdr:colOff>
      <xdr:row>25</xdr:row>
      <xdr:rowOff>1</xdr:rowOff>
    </xdr:from>
    <xdr:to>
      <xdr:col>10</xdr:col>
      <xdr:colOff>26894</xdr:colOff>
      <xdr:row>30</xdr:row>
      <xdr:rowOff>0</xdr:rowOff>
    </xdr:to>
    <xdr:sp macro="" textlink="">
      <xdr:nvSpPr>
        <xdr:cNvPr id="47" name="Rectangle: Rounded Corners 46">
          <a:extLst>
            <a:ext uri="{FF2B5EF4-FFF2-40B4-BE49-F238E27FC236}">
              <a16:creationId xmlns:a16="http://schemas.microsoft.com/office/drawing/2014/main" id="{41DBC52F-5D4E-4B84-842E-8B84DB7710C0}"/>
            </a:ext>
          </a:extLst>
        </xdr:cNvPr>
        <xdr:cNvSpPr/>
      </xdr:nvSpPr>
      <xdr:spPr>
        <a:xfrm>
          <a:off x="2761129" y="7772401"/>
          <a:ext cx="5495365" cy="1658470"/>
        </a:xfrm>
        <a:prstGeom prst="roundRect">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Monthly Profit Trend</a:t>
          </a:r>
        </a:p>
      </xdr:txBody>
    </xdr:sp>
    <xdr:clientData/>
  </xdr:twoCellAnchor>
  <xdr:twoCellAnchor>
    <xdr:from>
      <xdr:col>10</xdr:col>
      <xdr:colOff>681318</xdr:colOff>
      <xdr:row>25</xdr:row>
      <xdr:rowOff>0</xdr:rowOff>
    </xdr:from>
    <xdr:to>
      <xdr:col>16</xdr:col>
      <xdr:colOff>0</xdr:colOff>
      <xdr:row>29</xdr:row>
      <xdr:rowOff>300989</xdr:rowOff>
    </xdr:to>
    <xdr:sp macro="" textlink="">
      <xdr:nvSpPr>
        <xdr:cNvPr id="48" name="Rectangle: Rounded Corners 47">
          <a:extLst>
            <a:ext uri="{FF2B5EF4-FFF2-40B4-BE49-F238E27FC236}">
              <a16:creationId xmlns:a16="http://schemas.microsoft.com/office/drawing/2014/main" id="{BD28492C-2D47-4654-846F-B6CF0A91775E}"/>
            </a:ext>
          </a:extLst>
        </xdr:cNvPr>
        <xdr:cNvSpPr/>
      </xdr:nvSpPr>
      <xdr:spPr>
        <a:xfrm>
          <a:off x="8910918" y="7772400"/>
          <a:ext cx="5065058" cy="1627765"/>
        </a:xfrm>
        <a:prstGeom prst="roundRect">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AI</a:t>
          </a:r>
          <a:r>
            <a:rPr lang="en-IN" sz="1100" baseline="0">
              <a:solidFill>
                <a:srgbClr val="6B7280"/>
              </a:solidFill>
            </a:rPr>
            <a:t> </a:t>
          </a:r>
          <a:r>
            <a:rPr lang="en-IN" sz="1400">
              <a:solidFill>
                <a:srgbClr val="1F2937"/>
              </a:solidFill>
              <a:latin typeface="+mn-lt"/>
              <a:ea typeface="+mn-ea"/>
              <a:cs typeface="+mn-cs"/>
            </a:rPr>
            <a:t>Insights</a:t>
          </a:r>
        </a:p>
        <a:p>
          <a:pPr algn="l"/>
          <a:r>
            <a:rPr lang="en-IN" sz="1200">
              <a:solidFill>
                <a:srgbClr val="6B7280"/>
              </a:solidFill>
              <a:latin typeface="+mn-lt"/>
              <a:ea typeface="+mn-ea"/>
              <a:cs typeface="+mn-cs"/>
            </a:rPr>
            <a:t>Business</a:t>
          </a:r>
          <a:r>
            <a:rPr lang="en-IN" sz="1200">
              <a:solidFill>
                <a:srgbClr val="6B7280"/>
              </a:solidFill>
            </a:rPr>
            <a:t> </a:t>
          </a:r>
          <a:r>
            <a:rPr lang="en-IN" sz="1200">
              <a:solidFill>
                <a:srgbClr val="6B7280"/>
              </a:solidFill>
              <a:latin typeface="+mn-lt"/>
              <a:ea typeface="+mn-ea"/>
              <a:cs typeface="+mn-cs"/>
            </a:rPr>
            <a:t>Summary</a:t>
          </a:r>
        </a:p>
        <a:p>
          <a:pPr algn="l"/>
          <a:r>
            <a:rPr lang="en-IN" sz="1200">
              <a:solidFill>
                <a:srgbClr val="6B7280"/>
              </a:solidFill>
              <a:latin typeface="+mn-lt"/>
              <a:ea typeface="+mn-ea"/>
              <a:cs typeface="+mn-cs"/>
            </a:rPr>
            <a:t>.</a:t>
          </a:r>
          <a:r>
            <a:rPr lang="en-IN" sz="1200" baseline="0">
              <a:solidFill>
                <a:srgbClr val="6B7280"/>
              </a:solidFill>
              <a:latin typeface="+mn-lt"/>
              <a:ea typeface="+mn-ea"/>
              <a:cs typeface="+mn-cs"/>
            </a:rPr>
            <a:t> Marketing accouonted for 42% of total Expenses</a:t>
          </a:r>
        </a:p>
        <a:p>
          <a:pPr algn="l"/>
          <a:endParaRPr lang="en-IN" sz="1200" baseline="0">
            <a:solidFill>
              <a:srgbClr val="6B7280"/>
            </a:solidFill>
            <a:latin typeface="+mn-lt"/>
            <a:ea typeface="+mn-ea"/>
            <a:cs typeface="+mn-cs"/>
          </a:endParaRPr>
        </a:p>
        <a:p>
          <a:pPr algn="l"/>
          <a:r>
            <a:rPr lang="en-IN" sz="1200" baseline="0">
              <a:solidFill>
                <a:srgbClr val="6B7280"/>
              </a:solidFill>
              <a:latin typeface="+mn-lt"/>
              <a:ea typeface="+mn-ea"/>
              <a:cs typeface="+mn-cs"/>
            </a:rPr>
            <a:t>. Net profit increased by 18% compared to last month</a:t>
          </a:r>
          <a:endParaRPr lang="en-IN" sz="1200">
            <a:solidFill>
              <a:srgbClr val="6B7280"/>
            </a:solidFill>
            <a:latin typeface="+mn-lt"/>
            <a:ea typeface="+mn-ea"/>
            <a:cs typeface="+mn-cs"/>
          </a:endParaRPr>
        </a:p>
      </xdr:txBody>
    </xdr:sp>
    <xdr:clientData/>
  </xdr:twoCellAnchor>
  <xdr:twoCellAnchor>
    <xdr:from>
      <xdr:col>5</xdr:col>
      <xdr:colOff>457202</xdr:colOff>
      <xdr:row>9</xdr:row>
      <xdr:rowOff>242047</xdr:rowOff>
    </xdr:from>
    <xdr:to>
      <xdr:col>10</xdr:col>
      <xdr:colOff>706582</xdr:colOff>
      <xdr:row>15</xdr:row>
      <xdr:rowOff>235527</xdr:rowOff>
    </xdr:to>
    <xdr:graphicFrame macro="">
      <xdr:nvGraphicFramePr>
        <xdr:cNvPr id="4" name="Chart 3">
          <a:extLst>
            <a:ext uri="{FF2B5EF4-FFF2-40B4-BE49-F238E27FC236}">
              <a16:creationId xmlns:a16="http://schemas.microsoft.com/office/drawing/2014/main" id="{CA761C2A-4AED-405E-BED6-B513BD4A10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573741</xdr:colOff>
      <xdr:row>9</xdr:row>
      <xdr:rowOff>251013</xdr:rowOff>
    </xdr:from>
    <xdr:to>
      <xdr:col>15</xdr:col>
      <xdr:colOff>188257</xdr:colOff>
      <xdr:row>15</xdr:row>
      <xdr:rowOff>180109</xdr:rowOff>
    </xdr:to>
    <xdr:graphicFrame macro="">
      <xdr:nvGraphicFramePr>
        <xdr:cNvPr id="14" name="Chart 13">
          <a:extLst>
            <a:ext uri="{FF2B5EF4-FFF2-40B4-BE49-F238E27FC236}">
              <a16:creationId xmlns:a16="http://schemas.microsoft.com/office/drawing/2014/main" id="{F63AA35E-B93A-4083-9F00-5F87B46FD3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374073</xdr:colOff>
      <xdr:row>18</xdr:row>
      <xdr:rowOff>180109</xdr:rowOff>
    </xdr:from>
    <xdr:to>
      <xdr:col>9</xdr:col>
      <xdr:colOff>446605</xdr:colOff>
      <xdr:row>23</xdr:row>
      <xdr:rowOff>134469</xdr:rowOff>
    </xdr:to>
    <xdr:graphicFrame macro="">
      <xdr:nvGraphicFramePr>
        <xdr:cNvPr id="16" name="Chart 15">
          <a:extLst>
            <a:ext uri="{FF2B5EF4-FFF2-40B4-BE49-F238E27FC236}">
              <a16:creationId xmlns:a16="http://schemas.microsoft.com/office/drawing/2014/main" id="{05741C2A-4740-4CFE-9F7E-2905838A2D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860612</xdr:colOff>
      <xdr:row>18</xdr:row>
      <xdr:rowOff>197225</xdr:rowOff>
    </xdr:from>
    <xdr:to>
      <xdr:col>15</xdr:col>
      <xdr:colOff>71717</xdr:colOff>
      <xdr:row>23</xdr:row>
      <xdr:rowOff>197224</xdr:rowOff>
    </xdr:to>
    <xdr:graphicFrame macro="">
      <xdr:nvGraphicFramePr>
        <xdr:cNvPr id="18" name="Chart 17">
          <a:extLst>
            <a:ext uri="{FF2B5EF4-FFF2-40B4-BE49-F238E27FC236}">
              <a16:creationId xmlns:a16="http://schemas.microsoft.com/office/drawing/2014/main" id="{E05289B7-C74D-4574-97F8-9D098C76B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152400</xdr:colOff>
      <xdr:row>26</xdr:row>
      <xdr:rowOff>135815</xdr:rowOff>
    </xdr:from>
    <xdr:to>
      <xdr:col>9</xdr:col>
      <xdr:colOff>905435</xdr:colOff>
      <xdr:row>29</xdr:row>
      <xdr:rowOff>188260</xdr:rowOff>
    </xdr:to>
    <xdr:graphicFrame macro="">
      <xdr:nvGraphicFramePr>
        <xdr:cNvPr id="23" name="Chart 22">
          <a:extLst>
            <a:ext uri="{FF2B5EF4-FFF2-40B4-BE49-F238E27FC236}">
              <a16:creationId xmlns:a16="http://schemas.microsoft.com/office/drawing/2014/main" id="{8BAEFA4E-2F12-4375-8A70-453F8BCFD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81311</xdr:colOff>
      <xdr:row>15</xdr:row>
      <xdr:rowOff>230056</xdr:rowOff>
    </xdr:from>
    <xdr:to>
      <xdr:col>4</xdr:col>
      <xdr:colOff>2909</xdr:colOff>
      <xdr:row>19</xdr:row>
      <xdr:rowOff>185854</xdr:rowOff>
    </xdr:to>
    <mc:AlternateContent xmlns:mc="http://schemas.openxmlformats.org/markup-compatibility/2006">
      <mc:Choice xmlns:a14="http://schemas.microsoft.com/office/drawing/2010/main" Requires="a14">
        <xdr:graphicFrame macro="">
          <xdr:nvGraphicFramePr>
            <xdr:cNvPr id="25" name="Category">
              <a:extLst>
                <a:ext uri="{FF2B5EF4-FFF2-40B4-BE49-F238E27FC236}">
                  <a16:creationId xmlns:a16="http://schemas.microsoft.com/office/drawing/2014/main" id="{9248FD6E-3EF8-44B9-ADE1-14F4CD4B84F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81311" y="4609233"/>
              <a:ext cx="2268000" cy="1256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81313</xdr:colOff>
      <xdr:row>19</xdr:row>
      <xdr:rowOff>185854</xdr:rowOff>
    </xdr:from>
    <xdr:to>
      <xdr:col>4</xdr:col>
      <xdr:colOff>2911</xdr:colOff>
      <xdr:row>22</xdr:row>
      <xdr:rowOff>110122</xdr:rowOff>
    </xdr:to>
    <mc:AlternateContent xmlns:mc="http://schemas.openxmlformats.org/markup-compatibility/2006">
      <mc:Choice xmlns:a14="http://schemas.microsoft.com/office/drawing/2010/main" Requires="a14">
        <xdr:graphicFrame macro="">
          <xdr:nvGraphicFramePr>
            <xdr:cNvPr id="26" name="Payment Mode">
              <a:extLst>
                <a:ext uri="{FF2B5EF4-FFF2-40B4-BE49-F238E27FC236}">
                  <a16:creationId xmlns:a16="http://schemas.microsoft.com/office/drawing/2014/main" id="{48005FFF-0B7C-4D4D-B52A-1A3D8C3985D2}"/>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dr:sp macro="" textlink="">
          <xdr:nvSpPr>
            <xdr:cNvPr id="0" name=""/>
            <xdr:cNvSpPr>
              <a:spLocks noTextEdit="1"/>
            </xdr:cNvSpPr>
          </xdr:nvSpPr>
          <xdr:spPr>
            <a:xfrm>
              <a:off x="81313" y="5866006"/>
              <a:ext cx="2268000" cy="9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249382</xdr:colOff>
      <xdr:row>6</xdr:row>
      <xdr:rowOff>13855</xdr:rowOff>
    </xdr:from>
    <xdr:to>
      <xdr:col>6</xdr:col>
      <xdr:colOff>914400</xdr:colOff>
      <xdr:row>6</xdr:row>
      <xdr:rowOff>290946</xdr:rowOff>
    </xdr:to>
    <xdr:sp macro="" textlink="'P&amp;l'!B4">
      <xdr:nvSpPr>
        <xdr:cNvPr id="27" name="Rectangle 26">
          <a:extLst>
            <a:ext uri="{FF2B5EF4-FFF2-40B4-BE49-F238E27FC236}">
              <a16:creationId xmlns:a16="http://schemas.microsoft.com/office/drawing/2014/main" id="{C3B0ED1D-ADAD-5847-B99B-5D7ED3E5CE7D}"/>
            </a:ext>
          </a:extLst>
        </xdr:cNvPr>
        <xdr:cNvSpPr/>
      </xdr:nvSpPr>
      <xdr:spPr>
        <a:xfrm>
          <a:off x="3020291"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0B824E3-CDF7-4C95-940F-C7F6A78A3B54}" type="TxLink">
            <a:rPr lang="en-US" sz="2000" b="0" i="0" u="none" strike="noStrike">
              <a:solidFill>
                <a:srgbClr val="111827"/>
              </a:solidFill>
              <a:latin typeface="Aptos Narrow"/>
            </a:rPr>
            <a:pPr algn="l"/>
            <a:t> ₹ 50,000 </a:t>
          </a:fld>
          <a:endParaRPr lang="en-IN" sz="2000" b="0">
            <a:solidFill>
              <a:srgbClr val="111827"/>
            </a:solidFill>
          </a:endParaRPr>
        </a:p>
      </xdr:txBody>
    </xdr:sp>
    <xdr:clientData/>
  </xdr:twoCellAnchor>
  <xdr:twoCellAnchor>
    <xdr:from>
      <xdr:col>7</xdr:col>
      <xdr:colOff>1080655</xdr:colOff>
      <xdr:row>6</xdr:row>
      <xdr:rowOff>13855</xdr:rowOff>
    </xdr:from>
    <xdr:to>
      <xdr:col>9</xdr:col>
      <xdr:colOff>651164</xdr:colOff>
      <xdr:row>6</xdr:row>
      <xdr:rowOff>290946</xdr:rowOff>
    </xdr:to>
    <xdr:sp macro="" textlink="'P&amp;l'!B5">
      <xdr:nvSpPr>
        <xdr:cNvPr id="28" name="Rectangle 27">
          <a:extLst>
            <a:ext uri="{FF2B5EF4-FFF2-40B4-BE49-F238E27FC236}">
              <a16:creationId xmlns:a16="http://schemas.microsoft.com/office/drawing/2014/main" id="{D362EFC2-6F7B-B947-3351-4AB459FF3967}"/>
            </a:ext>
          </a:extLst>
        </xdr:cNvPr>
        <xdr:cNvSpPr/>
      </xdr:nvSpPr>
      <xdr:spPr>
        <a:xfrm>
          <a:off x="6040582"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2B0B4B-0F4A-47E3-AE68-619345833E9F}" type="TxLink">
            <a:rPr lang="en-US" sz="1800" b="0" i="0" u="none" strike="noStrike">
              <a:solidFill>
                <a:srgbClr val="000000"/>
              </a:solidFill>
              <a:latin typeface="Aptos Narrow"/>
            </a:rPr>
            <a:pPr algn="l"/>
            <a:t> ₹ 13,000 </a:t>
          </a:fld>
          <a:endParaRPr lang="en-IN" sz="1800"/>
        </a:p>
      </xdr:txBody>
    </xdr:sp>
    <xdr:clientData/>
  </xdr:twoCellAnchor>
  <xdr:twoCellAnchor>
    <xdr:from>
      <xdr:col>10</xdr:col>
      <xdr:colOff>775854</xdr:colOff>
      <xdr:row>6</xdr:row>
      <xdr:rowOff>13855</xdr:rowOff>
    </xdr:from>
    <xdr:to>
      <xdr:col>12</xdr:col>
      <xdr:colOff>346363</xdr:colOff>
      <xdr:row>6</xdr:row>
      <xdr:rowOff>290946</xdr:rowOff>
    </xdr:to>
    <xdr:sp macro="" textlink="'P&amp;l'!B6">
      <xdr:nvSpPr>
        <xdr:cNvPr id="30" name="Rectangle 29">
          <a:extLst>
            <a:ext uri="{FF2B5EF4-FFF2-40B4-BE49-F238E27FC236}">
              <a16:creationId xmlns:a16="http://schemas.microsoft.com/office/drawing/2014/main" id="{E91D42A8-9612-0460-F983-BD1D3C7D454B}"/>
            </a:ext>
          </a:extLst>
        </xdr:cNvPr>
        <xdr:cNvSpPr/>
      </xdr:nvSpPr>
      <xdr:spPr>
        <a:xfrm>
          <a:off x="9019309"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4025162-D2C6-4A23-A341-A2758F10AA50}" type="TxLink">
            <a:rPr lang="en-US" sz="1800" b="0" i="0" u="none" strike="noStrike">
              <a:solidFill>
                <a:srgbClr val="000000"/>
              </a:solidFill>
              <a:latin typeface="Aptos Narrow"/>
            </a:rPr>
            <a:pPr algn="l"/>
            <a:t> ₹ 37,000 </a:t>
          </a:fld>
          <a:endParaRPr lang="en-IN" sz="1800"/>
        </a:p>
      </xdr:txBody>
    </xdr:sp>
    <xdr:clientData/>
  </xdr:twoCellAnchor>
  <xdr:twoCellAnchor>
    <xdr:from>
      <xdr:col>13</xdr:col>
      <xdr:colOff>457200</xdr:colOff>
      <xdr:row>5</xdr:row>
      <xdr:rowOff>304800</xdr:rowOff>
    </xdr:from>
    <xdr:to>
      <xdr:col>15</xdr:col>
      <xdr:colOff>27709</xdr:colOff>
      <xdr:row>6</xdr:row>
      <xdr:rowOff>249382</xdr:rowOff>
    </xdr:to>
    <xdr:sp macro="" textlink="Cash_Flow!D10">
      <xdr:nvSpPr>
        <xdr:cNvPr id="31" name="Rectangle 30">
          <a:extLst>
            <a:ext uri="{FF2B5EF4-FFF2-40B4-BE49-F238E27FC236}">
              <a16:creationId xmlns:a16="http://schemas.microsoft.com/office/drawing/2014/main" id="{4C8E3362-B3D3-A8D4-EFE5-9621F2FF315D}"/>
            </a:ext>
          </a:extLst>
        </xdr:cNvPr>
        <xdr:cNvSpPr/>
      </xdr:nvSpPr>
      <xdr:spPr>
        <a:xfrm>
          <a:off x="11984182" y="1454727"/>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1B016FB-3341-4F26-8E3A-A16FC0EA5DD1}" type="TxLink">
            <a:rPr lang="en-US" sz="1800" b="0" i="0" u="none" strike="noStrike">
              <a:solidFill>
                <a:srgbClr val="000000"/>
              </a:solidFill>
              <a:latin typeface="Aptos Narrow"/>
            </a:rPr>
            <a:pPr algn="l"/>
            <a:t> ₹ 37,000 </a:t>
          </a:fld>
          <a:endParaRPr lang="en-IN" sz="18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86835</xdr:rowOff>
    </xdr:from>
    <xdr:to>
      <xdr:col>1</xdr:col>
      <xdr:colOff>853440</xdr:colOff>
      <xdr:row>5</xdr:row>
      <xdr:rowOff>80835</xdr:rowOff>
    </xdr:to>
    <xdr:sp macro="" textlink="$R$2">
      <xdr:nvSpPr>
        <xdr:cNvPr id="2" name="Rectangle: Rounded Corners 1">
          <a:extLst>
            <a:ext uri="{FF2B5EF4-FFF2-40B4-BE49-F238E27FC236}">
              <a16:creationId xmlns:a16="http://schemas.microsoft.com/office/drawing/2014/main" id="{E64C9771-8664-CC3A-314F-0EE9C7F10416}"/>
            </a:ext>
          </a:extLst>
        </xdr:cNvPr>
        <xdr:cNvSpPr/>
      </xdr:nvSpPr>
      <xdr:spPr>
        <a:xfrm>
          <a:off x="38100" y="420210"/>
          <a:ext cx="1501140" cy="7560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600" b="0" i="0" u="none" strike="noStrike">
              <a:solidFill>
                <a:srgbClr val="000000"/>
              </a:solidFill>
              <a:latin typeface="Aptos Narrow"/>
            </a:rPr>
            <a:t>TOTAL BUDGET</a:t>
          </a:r>
        </a:p>
        <a:p>
          <a:pPr algn="ctr"/>
          <a:fld id="{6074899F-282A-4D9B-9699-CCEA73FF3908}" type="TxLink">
            <a:rPr lang="en-US" sz="1600" b="0" i="0" u="none" strike="noStrike">
              <a:solidFill>
                <a:srgbClr val="000000"/>
              </a:solidFill>
              <a:latin typeface="Aptos Narrow"/>
            </a:rPr>
            <a:pPr algn="ctr"/>
            <a:t> ₹ 1,43,000 </a:t>
          </a:fld>
          <a:endParaRPr lang="en-IN" sz="1600"/>
        </a:p>
      </xdr:txBody>
    </xdr:sp>
    <xdr:clientData/>
  </xdr:twoCellAnchor>
  <xdr:twoCellAnchor>
    <xdr:from>
      <xdr:col>3</xdr:col>
      <xdr:colOff>74930</xdr:colOff>
      <xdr:row>1</xdr:row>
      <xdr:rowOff>86835</xdr:rowOff>
    </xdr:from>
    <xdr:to>
      <xdr:col>4</xdr:col>
      <xdr:colOff>556895</xdr:colOff>
      <xdr:row>5</xdr:row>
      <xdr:rowOff>80835</xdr:rowOff>
    </xdr:to>
    <xdr:sp macro="" textlink="$R$4">
      <xdr:nvSpPr>
        <xdr:cNvPr id="3" name="Rectangle: Rounded Corners 2">
          <a:extLst>
            <a:ext uri="{FF2B5EF4-FFF2-40B4-BE49-F238E27FC236}">
              <a16:creationId xmlns:a16="http://schemas.microsoft.com/office/drawing/2014/main" id="{9E0E88C4-EB2E-0DD1-BCED-EA892EF7B06B}"/>
            </a:ext>
          </a:extLst>
        </xdr:cNvPr>
        <xdr:cNvSpPr/>
      </xdr:nvSpPr>
      <xdr:spPr>
        <a:xfrm>
          <a:off x="3094355" y="420210"/>
          <a:ext cx="1415415" cy="7560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0" i="0" u="none" strike="noStrike">
              <a:solidFill>
                <a:srgbClr val="000000"/>
              </a:solidFill>
              <a:latin typeface="Aptos Narrow"/>
            </a:rPr>
            <a:t>REMAINING</a:t>
          </a:r>
        </a:p>
        <a:p>
          <a:pPr algn="ctr"/>
          <a:fld id="{36B69F17-149D-4540-B847-9D71336E0B88}" type="TxLink">
            <a:rPr lang="en-US" sz="1800" b="0" i="0" u="none" strike="noStrike">
              <a:solidFill>
                <a:srgbClr val="000000"/>
              </a:solidFill>
              <a:latin typeface="Aptos Narrow"/>
            </a:rPr>
            <a:pPr algn="ctr"/>
            <a:t> ₹ 1,30,000 </a:t>
          </a:fld>
          <a:endParaRPr lang="en-IN" sz="1800"/>
        </a:p>
      </xdr:txBody>
    </xdr:sp>
    <xdr:clientData/>
  </xdr:twoCellAnchor>
  <xdr:twoCellAnchor>
    <xdr:from>
      <xdr:col>1</xdr:col>
      <xdr:colOff>997585</xdr:colOff>
      <xdr:row>1</xdr:row>
      <xdr:rowOff>86835</xdr:rowOff>
    </xdr:from>
    <xdr:to>
      <xdr:col>2</xdr:col>
      <xdr:colOff>1045210</xdr:colOff>
      <xdr:row>5</xdr:row>
      <xdr:rowOff>80835</xdr:rowOff>
    </xdr:to>
    <xdr:sp macro="" textlink="$R$3">
      <xdr:nvSpPr>
        <xdr:cNvPr id="4" name="Rectangle: Rounded Corners 3">
          <a:extLst>
            <a:ext uri="{FF2B5EF4-FFF2-40B4-BE49-F238E27FC236}">
              <a16:creationId xmlns:a16="http://schemas.microsoft.com/office/drawing/2014/main" id="{0192967C-4BB9-9705-CEEA-444FFEA1F6C9}"/>
            </a:ext>
          </a:extLst>
        </xdr:cNvPr>
        <xdr:cNvSpPr/>
      </xdr:nvSpPr>
      <xdr:spPr>
        <a:xfrm>
          <a:off x="1683385" y="420210"/>
          <a:ext cx="1266825" cy="7560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0" i="0" u="none" strike="noStrike">
              <a:solidFill>
                <a:srgbClr val="000000"/>
              </a:solidFill>
              <a:latin typeface="Aptos Narrow"/>
            </a:rPr>
            <a:t>SPENT</a:t>
          </a:r>
        </a:p>
        <a:p>
          <a:pPr algn="ctr"/>
          <a:fld id="{0156BFF7-515F-4E09-82C2-6AE11FCF1136}" type="TxLink">
            <a:rPr lang="en-US" sz="1800" b="0" i="0" u="none" strike="noStrike">
              <a:solidFill>
                <a:srgbClr val="000000"/>
              </a:solidFill>
              <a:latin typeface="Aptos Narrow"/>
            </a:rPr>
            <a:pPr algn="ctr"/>
            <a:t> ₹ 13,000 </a:t>
          </a:fld>
          <a:endParaRPr lang="en-IN" sz="1800" b="0"/>
        </a:p>
      </xdr:txBody>
    </xdr:sp>
    <xdr:clientData/>
  </xdr:twoCellAnchor>
  <xdr:twoCellAnchor>
    <xdr:from>
      <xdr:col>4</xdr:col>
      <xdr:colOff>701040</xdr:colOff>
      <xdr:row>1</xdr:row>
      <xdr:rowOff>86835</xdr:rowOff>
    </xdr:from>
    <xdr:to>
      <xdr:col>7</xdr:col>
      <xdr:colOff>0</xdr:colOff>
      <xdr:row>5</xdr:row>
      <xdr:rowOff>80835</xdr:rowOff>
    </xdr:to>
    <xdr:sp macro="" textlink="$R$5">
      <xdr:nvSpPr>
        <xdr:cNvPr id="5" name="Rectangle: Rounded Corners 4">
          <a:extLst>
            <a:ext uri="{FF2B5EF4-FFF2-40B4-BE49-F238E27FC236}">
              <a16:creationId xmlns:a16="http://schemas.microsoft.com/office/drawing/2014/main" id="{7619365B-B088-12F6-9FAC-AA753C3736D3}"/>
            </a:ext>
          </a:extLst>
        </xdr:cNvPr>
        <xdr:cNvSpPr/>
      </xdr:nvSpPr>
      <xdr:spPr>
        <a:xfrm>
          <a:off x="4653915" y="420210"/>
          <a:ext cx="1670685" cy="7560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0" i="0" u="none" strike="noStrike">
              <a:solidFill>
                <a:srgbClr val="000000"/>
              </a:solidFill>
              <a:latin typeface="Aptos Narrow"/>
            </a:rPr>
            <a:t> BUDGET USED</a:t>
          </a:r>
        </a:p>
        <a:p>
          <a:pPr algn="ctr"/>
          <a:r>
            <a:rPr lang="en-US" sz="1800" b="0" i="0" u="none" strike="noStrike">
              <a:solidFill>
                <a:srgbClr val="000000"/>
              </a:solidFill>
              <a:latin typeface="Aptos Narrow"/>
            </a:rPr>
            <a:t> </a:t>
          </a:r>
          <a:fld id="{1CA72579-F5E3-4208-A23B-C90FD6160234}" type="TxLink">
            <a:rPr lang="en-US" sz="1800" b="0" i="0" u="none" strike="noStrike">
              <a:solidFill>
                <a:srgbClr val="000000"/>
              </a:solidFill>
              <a:latin typeface="Aptos Narrow"/>
            </a:rPr>
            <a:pPr algn="ctr"/>
            <a:t>9%</a:t>
          </a:fld>
          <a:endParaRPr lang="en-IN" sz="18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6-07-19T13:29:32.773"/>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1,'0'0</inkml:trace>
  <inkml:trace contextRef="#ctx0" brushRef="#br0" timeOffset="540.5">1 1,'0'0</inkml:trace>
  <inkml:trace contextRef="#ctx0" brushRef="#br0" timeOffset="748.76">1 1,'0'0</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47.963002777775" createdVersion="8" refreshedVersion="8" minRefreshableVersion="3" recordCount="5" xr:uid="{071709DE-EE8D-4212-96C5-65BDFA13DCD6}">
  <cacheSource type="worksheet">
    <worksheetSource name="Table5"/>
  </cacheSource>
  <cacheFields count="4">
    <cacheField name="Vendor " numFmtId="0">
      <sharedItems count="5">
        <s v="Meta"/>
        <s v="OpenAI"/>
        <s v="ABC Ltd"/>
        <s v="HP Electricity Board"/>
        <s v="Indian Oil"/>
      </sharedItems>
    </cacheField>
    <cacheField name="Total Expenses" numFmtId="44">
      <sharedItems containsSemiMixedTypes="0" containsString="0" containsNumber="1" containsInteger="1" minValue="0" maxValue="5000"/>
    </cacheField>
    <cacheField name="Total Income" numFmtId="44">
      <sharedItems containsSemiMixedTypes="0" containsString="0" containsNumber="1" containsInteger="1" minValue="0" maxValue="50000"/>
    </cacheField>
    <cacheField name="Net" numFmtId="44">
      <sharedItems containsSemiMixedTypes="0" containsString="0" containsNumber="1" containsInteger="1" minValue="-5000" maxValue="5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47.963003009259" createdVersion="8" refreshedVersion="8" minRefreshableVersion="3" recordCount="7" xr:uid="{D64BC90D-660C-4546-8636-9FED099B2C1C}">
  <cacheSource type="worksheet">
    <worksheetSource name="Table3"/>
  </cacheSource>
  <cacheFields count="7">
    <cacheField name="Category" numFmtId="0">
      <sharedItems count="7">
        <s v="Marketing"/>
        <s v="Software"/>
        <s v="Salary"/>
        <s v="Office"/>
        <s v="Travel"/>
        <s v="Utilities"/>
        <s v="Taxes"/>
      </sharedItems>
    </cacheField>
    <cacheField name="Monthly Budget" numFmtId="44">
      <sharedItems containsSemiMixedTypes="0" containsString="0" containsNumber="1" containsInteger="1" minValue="8000" maxValue="50000"/>
    </cacheField>
    <cacheField name="Actual Spend" numFmtId="44">
      <sharedItems containsSemiMixedTypes="0" containsString="0" containsNumber="1" containsInteger="1" minValue="0" maxValue="5000"/>
    </cacheField>
    <cacheField name="Remaining" numFmtId="44">
      <sharedItems containsSemiMixedTypes="0" containsString="0" containsNumber="1" containsInteger="1" minValue="7500" maxValue="50000"/>
    </cacheField>
    <cacheField name="Budget Used %" numFmtId="9">
      <sharedItems containsSemiMixedTypes="0" containsString="0" containsNumber="1" minValue="0" maxValue="0.25"/>
    </cacheField>
    <cacheField name="Status"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47.963003240744" createdVersion="8" refreshedVersion="8" minRefreshableVersion="3" recordCount="5" xr:uid="{327670BF-2071-4F6B-89E0-C766789656FA}">
  <cacheSource type="worksheet">
    <worksheetSource name="Transactions"/>
  </cacheSource>
  <cacheFields count="13">
    <cacheField name="Transaction ID" numFmtId="0">
      <sharedItems/>
    </cacheField>
    <cacheField name="Date" numFmtId="14">
      <sharedItems containsSemiMixedTypes="0" containsNonDate="0" containsDate="1" containsString="0" minDate="2026-07-01T00:00:00" maxDate="2026-07-06T00:00:00" count="5">
        <d v="2026-07-01T00:00:00"/>
        <d v="2026-07-02T00:00:00"/>
        <d v="2026-07-03T00:00:00"/>
        <d v="2026-07-04T00:00:00"/>
        <d v="2026-07-05T00:00:00"/>
      </sharedItems>
      <fieldGroup par="12"/>
    </cacheField>
    <cacheField name="Type" numFmtId="0">
      <sharedItems count="2">
        <s v="Expense"/>
        <s v="Income"/>
      </sharedItems>
    </cacheField>
    <cacheField name="Category" numFmtId="0">
      <sharedItems count="6">
        <s v="Marketing"/>
        <s v="Software"/>
        <s v="Client Payment"/>
        <s v="Office"/>
        <s v="Travel"/>
        <s v="Sales Revenue" u="1"/>
      </sharedItems>
    </cacheField>
    <cacheField name="Sub Category" numFmtId="0">
      <sharedItems/>
    </cacheField>
    <cacheField name="Vendor" numFmtId="0">
      <sharedItems count="5">
        <s v="Meta"/>
        <s v="OpenAI"/>
        <s v="ABC Ltd"/>
        <s v="HP Electricity board"/>
        <s v="Indian Oil"/>
      </sharedItems>
    </cacheField>
    <cacheField name="Payment Mode" numFmtId="0">
      <sharedItems count="4">
        <s v="UPI"/>
        <s v="Credit Card"/>
        <s v="Cash "/>
        <s v="Bank"/>
      </sharedItems>
    </cacheField>
    <cacheField name="Amount" numFmtId="44">
      <sharedItems containsSemiMixedTypes="0" containsString="0" containsNumber="1" containsInteger="1" minValue="2000" maxValue="50000"/>
    </cacheField>
    <cacheField name="GST %" numFmtId="9">
      <sharedItems containsSemiMixedTypes="0" containsString="0" containsNumber="1" minValue="0" maxValue="0.18"/>
    </cacheField>
    <cacheField name="Project" numFmtId="0">
      <sharedItems/>
    </cacheField>
    <cacheField name="Status" numFmtId="0">
      <sharedItems/>
    </cacheField>
    <cacheField name="Notes" numFmtId="0">
      <sharedItems/>
    </cacheField>
    <cacheField name="Months (Date)" numFmtId="0" databaseField="0">
      <fieldGroup base="1">
        <rangePr groupBy="months" startDate="2026-07-01T00:00:00" endDate="2026-07-06T00:00:00"/>
        <groupItems count="14">
          <s v="&lt;01-07-2026"/>
          <s v="Jan"/>
          <s v="Feb"/>
          <s v="Mar"/>
          <s v="Apr"/>
          <s v="May"/>
          <s v="Jun"/>
          <s v="Jul"/>
          <s v="Aug"/>
          <s v="Sep"/>
          <s v="Oct"/>
          <s v="Nov"/>
          <s v="Dec"/>
          <s v="&gt;06-07-2026"/>
        </groupItems>
      </fieldGroup>
    </cacheField>
  </cacheFields>
  <extLst>
    <ext xmlns:x14="http://schemas.microsoft.com/office/spreadsheetml/2009/9/main" uri="{725AE2AE-9491-48be-B2B4-4EB974FC3084}">
      <x14:pivotCacheDefinition pivotCacheId="18478040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5000"/>
    <n v="0"/>
    <n v="-5000"/>
  </r>
  <r>
    <x v="1"/>
    <n v="2000"/>
    <n v="0"/>
    <n v="-2000"/>
  </r>
  <r>
    <x v="2"/>
    <n v="0"/>
    <n v="50000"/>
    <n v="50000"/>
  </r>
  <r>
    <x v="3"/>
    <n v="3500"/>
    <n v="0"/>
    <n v="-3500"/>
  </r>
  <r>
    <x v="4"/>
    <n v="2500"/>
    <n v="0"/>
    <n v="-2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20000"/>
    <n v="5000"/>
    <n v="15000"/>
    <n v="0.25"/>
    <s v="Safe"/>
    <m/>
  </r>
  <r>
    <x v="1"/>
    <n v="10000"/>
    <n v="2000"/>
    <n v="8000"/>
    <n v="0.2"/>
    <s v="Safe"/>
    <m/>
  </r>
  <r>
    <x v="2"/>
    <n v="50000"/>
    <n v="0"/>
    <n v="50000"/>
    <n v="0"/>
    <s v="Safe"/>
    <m/>
  </r>
  <r>
    <x v="3"/>
    <n v="15000"/>
    <n v="3500"/>
    <n v="11500"/>
    <n v="0.23333333333333334"/>
    <s v="Safe"/>
    <m/>
  </r>
  <r>
    <x v="4"/>
    <n v="10000"/>
    <n v="2500"/>
    <n v="7500"/>
    <n v="0.25"/>
    <s v="Safe"/>
    <m/>
  </r>
  <r>
    <x v="5"/>
    <n v="8000"/>
    <n v="0"/>
    <n v="8000"/>
    <n v="0"/>
    <s v="Safe"/>
    <m/>
  </r>
  <r>
    <x v="6"/>
    <n v="30000"/>
    <n v="0"/>
    <n v="30000"/>
    <n v="0"/>
    <s v="Safe"/>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TX0001"/>
    <x v="0"/>
    <x v="0"/>
    <x v="0"/>
    <s v="Facebook Ads"/>
    <x v="0"/>
    <x v="0"/>
    <n v="5000"/>
    <n v="0.18"/>
    <s v="Agency"/>
    <s v="Paid"/>
    <s v="July campaigns"/>
  </r>
  <r>
    <s v="TX0002"/>
    <x v="1"/>
    <x v="0"/>
    <x v="1"/>
    <s v="ChatGPT"/>
    <x v="1"/>
    <x v="1"/>
    <n v="2000"/>
    <n v="0.18"/>
    <s v="Agency"/>
    <s v="Paid"/>
    <s v="Monthly Subscription"/>
  </r>
  <r>
    <s v="TX0003"/>
    <x v="2"/>
    <x v="1"/>
    <x v="2"/>
    <s v="Website Project"/>
    <x v="2"/>
    <x v="2"/>
    <n v="50000"/>
    <n v="0"/>
    <s v="Agency"/>
    <s v="Received"/>
    <s v="Invoice #101"/>
  </r>
  <r>
    <s v="TX0004"/>
    <x v="3"/>
    <x v="0"/>
    <x v="3"/>
    <s v="Electricity"/>
    <x v="3"/>
    <x v="3"/>
    <n v="3500"/>
    <n v="0"/>
    <s v="Office"/>
    <s v="Paid"/>
    <s v="Monthly bill "/>
  </r>
  <r>
    <s v="TX0005"/>
    <x v="4"/>
    <x v="0"/>
    <x v="4"/>
    <s v="Fuel"/>
    <x v="4"/>
    <x v="0"/>
    <n v="2500"/>
    <n v="0"/>
    <s v="Client Visit"/>
    <s v="Paid"/>
    <s v="Chandigarh Visi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BBE64D-57B1-4D44-A4F4-53FCFC20B49C}" name="ptMonth"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D3:G6" firstHeaderRow="1" firstDataRow="2" firstDataCol="1"/>
  <pivotFields count="13">
    <pivotField showAll="0"/>
    <pivotField numFmtId="14" showAll="0">
      <items count="6">
        <item x="0"/>
        <item x="1"/>
        <item x="2"/>
        <item x="3"/>
        <item x="4"/>
        <item t="default"/>
      </items>
    </pivotField>
    <pivotField axis="axisCol"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axis="axisRow" showAll="0">
      <items count="15">
        <item x="0"/>
        <item x="1"/>
        <item x="2"/>
        <item x="3"/>
        <item x="4"/>
        <item x="5"/>
        <item x="6"/>
        <item x="7"/>
        <item x="8"/>
        <item x="9"/>
        <item x="10"/>
        <item x="11"/>
        <item x="12"/>
        <item x="13"/>
        <item t="default"/>
      </items>
    </pivotField>
  </pivotFields>
  <rowFields count="1">
    <field x="12"/>
  </rowFields>
  <rowItems count="2">
    <i>
      <x v="7"/>
    </i>
    <i t="grand">
      <x/>
    </i>
  </rowItems>
  <colFields count="1">
    <field x="2"/>
  </colFields>
  <colItems count="3">
    <i>
      <x/>
    </i>
    <i>
      <x v="1"/>
    </i>
    <i t="grand">
      <x/>
    </i>
  </colItems>
  <dataFields count="1">
    <dataField name="Sum of Amount" fld="7" baseField="0" baseItem="0" numFmtId="44"/>
  </dataFields>
  <formats count="2">
    <format dxfId="4">
      <pivotArea outline="0" collapsedLevelsAreSubtotals="1" fieldPosition="0"/>
    </format>
    <format dxfId="5">
      <pivotArea dataOnly="0" labelOnly="1" outline="0" axis="axisValues" fieldPosition="0"/>
    </format>
  </formats>
  <chartFormats count="6">
    <chartFormat chart="4" format="2" series="1">
      <pivotArea type="data" outline="0" fieldPosition="0">
        <references count="2">
          <reference field="4294967294" count="1" selected="0">
            <x v="0"/>
          </reference>
          <reference field="2" count="1" selected="0">
            <x v="0"/>
          </reference>
        </references>
      </pivotArea>
    </chartFormat>
    <chartFormat chart="4" format="3" series="1">
      <pivotArea type="data" outline="0" fieldPosition="0">
        <references count="2">
          <reference field="4294967294" count="1" selected="0">
            <x v="0"/>
          </reference>
          <reference field="2" count="1" selected="0">
            <x v="1"/>
          </reference>
        </references>
      </pivotArea>
    </chartFormat>
    <chartFormat chart="5" format="4" series="1">
      <pivotArea type="data" outline="0" fieldPosition="0">
        <references count="2">
          <reference field="4294967294" count="1" selected="0">
            <x v="0"/>
          </reference>
          <reference field="2" count="1" selected="0">
            <x v="0"/>
          </reference>
        </references>
      </pivotArea>
    </chartFormat>
    <chartFormat chart="5" format="5" series="1">
      <pivotArea type="data" outline="0" fieldPosition="0">
        <references count="2">
          <reference field="4294967294" count="1" selected="0">
            <x v="0"/>
          </reference>
          <reference field="2" count="1" selected="0">
            <x v="1"/>
          </reference>
        </references>
      </pivotArea>
    </chartFormat>
    <chartFormat chart="6" format="4" series="1">
      <pivotArea type="data" outline="0" fieldPosition="0">
        <references count="2">
          <reference field="4294967294" count="1" selected="0">
            <x v="0"/>
          </reference>
          <reference field="2" count="1" selected="0">
            <x v="0"/>
          </reference>
        </references>
      </pivotArea>
    </chartFormat>
    <chartFormat chart="6"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EF3AD7-FB8D-4869-A062-82B4498367D0}" name="ptCategory" cacheId="5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A3:C9" firstHeaderRow="1" firstDataRow="2" firstDataCol="1"/>
  <pivotFields count="13">
    <pivotField showAll="0"/>
    <pivotField numFmtId="14" showAll="0">
      <items count="6">
        <item x="0"/>
        <item x="1"/>
        <item x="2"/>
        <item x="3"/>
        <item x="4"/>
        <item t="default"/>
      </items>
    </pivotField>
    <pivotField axis="axisCol" showAll="0">
      <items count="3">
        <item x="0"/>
        <item h="1" x="1"/>
        <item t="default"/>
      </items>
    </pivotField>
    <pivotField axis="axisRow" showAll="0" measureFilter="1" sortType="ascending">
      <items count="7">
        <item x="0"/>
        <item x="3"/>
        <item m="1" x="5"/>
        <item x="1"/>
        <item x="4"/>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3"/>
  </rowFields>
  <rowItems count="5">
    <i>
      <x v="3"/>
    </i>
    <i>
      <x v="4"/>
    </i>
    <i>
      <x v="1"/>
    </i>
    <i>
      <x/>
    </i>
    <i t="grand">
      <x/>
    </i>
  </rowItems>
  <colFields count="1">
    <field x="2"/>
  </colFields>
  <colItems count="2">
    <i>
      <x/>
    </i>
    <i t="grand">
      <x/>
    </i>
  </colItems>
  <dataFields count="1">
    <dataField name="Expense by Category" fld="7" baseField="3" baseItem="0" numFmtId="164"/>
  </dataFields>
  <formats count="3">
    <format dxfId="8">
      <pivotArea collapsedLevelsAreSubtotals="1" fieldPosition="0">
        <references count="1">
          <reference field="3" count="1">
            <x v="3"/>
          </reference>
        </references>
      </pivotArea>
    </format>
    <format dxfId="9">
      <pivotArea outline="0" collapsedLevelsAreSubtotals="1" fieldPosition="0"/>
    </format>
    <format dxfId="10">
      <pivotArea dataOnly="0" labelOnly="1" outline="0" axis="axisValues" fieldPosition="0"/>
    </format>
  </formats>
  <chartFormats count="2">
    <chartFormat chart="31" format="2" series="1">
      <pivotArea type="data" outline="0" fieldPosition="0">
        <references count="1">
          <reference field="4294967294" count="1" selected="0">
            <x v="0"/>
          </reference>
        </references>
      </pivotArea>
    </chartFormat>
    <chartFormat chart="31" format="3"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756FE3-088C-46C3-B954-CC1BEB10D055}" name="PivotTable7"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D17:G24" firstHeaderRow="1" firstDataRow="2" firstDataCol="1"/>
  <pivotFields count="13">
    <pivotField showAll="0"/>
    <pivotField axis="axisRow" numFmtId="14" showAll="0">
      <items count="6">
        <item x="0"/>
        <item x="1"/>
        <item x="2"/>
        <item x="3"/>
        <item x="4"/>
        <item t="default"/>
      </items>
    </pivotField>
    <pivotField axis="axisCol"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1"/>
  </rowFields>
  <rowItems count="6">
    <i>
      <x/>
    </i>
    <i>
      <x v="1"/>
    </i>
    <i>
      <x v="2"/>
    </i>
    <i>
      <x v="3"/>
    </i>
    <i>
      <x v="4"/>
    </i>
    <i t="grand">
      <x/>
    </i>
  </rowItems>
  <colFields count="1">
    <field x="2"/>
  </colFields>
  <colItems count="3">
    <i>
      <x/>
    </i>
    <i>
      <x v="1"/>
    </i>
    <i t="grand">
      <x/>
    </i>
  </colItems>
  <dataFields count="1">
    <dataField name="Sum of Amount" fld="7" baseField="0" baseItem="0" numFmtId="44"/>
  </dataFields>
  <formats count="2">
    <format dxfId="6">
      <pivotArea outline="0" collapsedLevelsAreSubtotals="1" fieldPosition="0"/>
    </format>
    <format dxfId="7">
      <pivotArea dataOnly="0" labelOnly="1" outline="0" axis="axisValues" fieldPosition="0"/>
    </format>
  </formats>
  <chartFormats count="2">
    <chartFormat chart="26" format="4" series="1">
      <pivotArea type="data" outline="0" fieldPosition="0">
        <references count="2">
          <reference field="4294967294" count="1" selected="0">
            <x v="0"/>
          </reference>
          <reference field="2" count="1" selected="0">
            <x v="0"/>
          </reference>
        </references>
      </pivotArea>
    </chartFormat>
    <chartFormat chart="26"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F98906-0220-4812-9ACA-421E76A2A176}" name="PivotTable5"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D8:E14" firstHeaderRow="1" firstDataRow="1" firstDataCol="1"/>
  <pivotFields count="4">
    <pivotField axis="axisRow" showAll="0">
      <items count="6">
        <item x="2"/>
        <item x="3"/>
        <item x="4"/>
        <item x="0"/>
        <item x="1"/>
        <item t="default"/>
      </items>
    </pivotField>
    <pivotField dataField="1" numFmtId="44" showAll="0"/>
    <pivotField numFmtId="44" showAll="0"/>
    <pivotField numFmtId="44" showAll="0"/>
  </pivotFields>
  <rowFields count="1">
    <field x="0"/>
  </rowFields>
  <rowItems count="6">
    <i>
      <x/>
    </i>
    <i>
      <x v="1"/>
    </i>
    <i>
      <x v="2"/>
    </i>
    <i>
      <x v="3"/>
    </i>
    <i>
      <x v="4"/>
    </i>
    <i t="grand">
      <x/>
    </i>
  </rowItems>
  <colItems count="1">
    <i/>
  </colItems>
  <dataFields count="1">
    <dataField name="Sum of Total Expenses" fld="1" baseField="0" baseItem="0" numFmtId="44"/>
  </dataFields>
  <chartFormats count="3">
    <chartFormat chart="5" format="1"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17CBF3-4A8C-4F79-97D5-A8B37ABAAFFC}" name="ptVendor"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7:B23" firstHeaderRow="1" firstDataRow="1" firstDataCol="1"/>
  <pivotFields count="13">
    <pivotField showAll="0"/>
    <pivotField numFmtId="14" showAll="0">
      <items count="6">
        <item x="0"/>
        <item x="1"/>
        <item x="2"/>
        <item x="3"/>
        <item x="4"/>
        <item t="default"/>
      </items>
    </pivotField>
    <pivotField showAll="0"/>
    <pivotField showAll="0">
      <items count="7">
        <item x="2"/>
        <item x="0"/>
        <item x="3"/>
        <item m="1" x="5"/>
        <item x="1"/>
        <item x="4"/>
        <item t="default"/>
      </items>
    </pivotField>
    <pivotField showAll="0"/>
    <pivotField axis="axisRow" showAll="0">
      <items count="6">
        <item x="2"/>
        <item x="3"/>
        <item x="4"/>
        <item x="0"/>
        <item x="1"/>
        <item t="default"/>
      </items>
    </pivotField>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5"/>
  </rowFields>
  <rowItems count="6">
    <i>
      <x/>
    </i>
    <i>
      <x v="1"/>
    </i>
    <i>
      <x v="2"/>
    </i>
    <i>
      <x v="3"/>
    </i>
    <i>
      <x v="4"/>
    </i>
    <i t="grand">
      <x/>
    </i>
  </rowItems>
  <colItems count="1">
    <i/>
  </colItems>
  <dataFields count="1">
    <dataField name="Sum of Amount" fld="7" baseField="0" baseItem="0" numFmtId="44"/>
  </dataFields>
  <formats count="2">
    <format dxfId="0">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AC91726-9ED4-4928-A685-5F36BFC00DC5}" name="PivotTable1"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I3:J11" firstHeaderRow="1" firstDataRow="1" firstDataCol="1"/>
  <pivotFields count="7">
    <pivotField axis="axisRow" showAll="0" sortType="descending">
      <items count="8">
        <item x="0"/>
        <item x="3"/>
        <item x="2"/>
        <item x="1"/>
        <item x="6"/>
        <item x="4"/>
        <item x="5"/>
        <item t="default"/>
      </items>
      <autoSortScope>
        <pivotArea dataOnly="0" outline="0" fieldPosition="0">
          <references count="1">
            <reference field="4294967294" count="1" selected="0">
              <x v="0"/>
            </reference>
          </references>
        </pivotArea>
      </autoSortScope>
    </pivotField>
    <pivotField numFmtId="44" showAll="0"/>
    <pivotField numFmtId="44" showAll="0"/>
    <pivotField numFmtId="44" showAll="0"/>
    <pivotField dataField="1" numFmtId="9" showAll="0"/>
    <pivotField showAll="0"/>
    <pivotField showAll="0"/>
  </pivotFields>
  <rowFields count="1">
    <field x="0"/>
  </rowFields>
  <rowItems count="8">
    <i>
      <x v="5"/>
    </i>
    <i>
      <x/>
    </i>
    <i>
      <x v="1"/>
    </i>
    <i>
      <x v="3"/>
    </i>
    <i>
      <x v="4"/>
    </i>
    <i>
      <x v="6"/>
    </i>
    <i>
      <x v="2"/>
    </i>
    <i t="grand">
      <x/>
    </i>
  </rowItems>
  <colItems count="1">
    <i/>
  </colItems>
  <dataFields count="1">
    <dataField name="Sum of Budget Used %" fld="4" baseField="0" baseItem="0" numFmtId="9"/>
  </dataFields>
  <chartFormats count="3">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3B9703B-BEC5-461F-A599-D05D3BA409B1}" name="ptType"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5" firstHeaderRow="1" firstDataRow="1" firstDataCol="1"/>
  <pivotFields count="13">
    <pivotField showAll="0"/>
    <pivotField numFmtId="14" showAll="0">
      <items count="6">
        <item x="0"/>
        <item x="1"/>
        <item x="2"/>
        <item x="3"/>
        <item x="4"/>
        <item t="default"/>
      </items>
    </pivotField>
    <pivotField axis="axisRow"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2"/>
  </rowFields>
  <rowItems count="3">
    <i>
      <x/>
    </i>
    <i>
      <x v="1"/>
    </i>
    <i t="grand">
      <x/>
    </i>
  </rowItems>
  <colItems count="1">
    <i/>
  </colItems>
  <dataFields count="1">
    <dataField name="Sum of Amount" fld="7" baseField="0" baseItem="0" numFmtId="44"/>
  </dataFields>
  <formats count="2">
    <format dxfId="2">
      <pivotArea outline="0" collapsedLevelsAreSubtotals="1" fieldPosition="0"/>
    </format>
    <format dxfId="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B2A85EB-8D90-490C-9785-BD3323E46341}" sourceName="Category">
  <pivotTables>
    <pivotTable tabId="9" name="ptCategory"/>
    <pivotTable tabId="9" name="PivotTable7"/>
    <pivotTable tabId="9" name="ptMonth"/>
    <pivotTable tabId="9" name="ptType"/>
    <pivotTable tabId="9" name="ptVendor"/>
  </pivotTables>
  <data>
    <tabular pivotCacheId="1847804099">
      <items count="6">
        <i x="2" s="1"/>
        <i x="0" s="1"/>
        <i x="3" s="1"/>
        <i x="1" s="1"/>
        <i x="4"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EBABF333-9129-4234-97F8-885FB641E645}" sourceName="Payment Mode">
  <pivotTables>
    <pivotTable tabId="9" name="ptCategory"/>
    <pivotTable tabId="9" name="PivotTable7"/>
    <pivotTable tabId="9" name="ptMonth"/>
    <pivotTable tabId="9" name="ptType"/>
    <pivotTable tabId="9" name="ptVendor"/>
  </pivotTables>
  <data>
    <tabular pivotCacheId="1847804099">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7B47511-3EBF-4C6F-973F-1F2EEE247460}" cache="Slicer_Category" caption="Category" columnCount="2" style="SlicerStyleDark1" rowHeight="247650"/>
  <slicer name="Payment Mode" xr10:uid="{11260E68-49B5-4D47-9867-FC9E3C183A7D}" cache="Slicer_Payment_Mode" caption="Payment Mode" columnCount="2" style="SlicerStyleDark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BBE7C0-B811-439E-93CF-8845D676E6AF}" name="Transactions" displayName="Transactions" ref="A3:L8" insertRowShift="1" totalsRowShown="0" headerRowDxfId="43" dataDxfId="42">
  <autoFilter ref="A3:L8" xr:uid="{74BBE7C0-B811-439E-93CF-8845D676E6AF}"/>
  <tableColumns count="12">
    <tableColumn id="1" xr3:uid="{B6160970-6732-450D-9D1D-A79BA11AC5F3}" name="Transaction ID" dataDxfId="41">
      <calculatedColumnFormula>"TX"&amp;TEXT(ROWS($A$4:A4),"0000")</calculatedColumnFormula>
    </tableColumn>
    <tableColumn id="2" xr3:uid="{737275AC-8615-4836-808F-31CF85AB1233}" name="Date" dataDxfId="40"/>
    <tableColumn id="3" xr3:uid="{E0763AC4-0D8C-4929-9D96-8EF52C37A751}" name="Type" dataDxfId="39"/>
    <tableColumn id="4" xr3:uid="{818E8FFF-C4ED-462C-9CCE-DE7C19E06284}" name="Category" dataDxfId="38"/>
    <tableColumn id="5" xr3:uid="{1B90E9A6-FF9C-4B59-A2A7-D0A966231662}" name="Sub Category" dataDxfId="37"/>
    <tableColumn id="6" xr3:uid="{8EEE7EC3-1261-44DF-9327-6ED622A2CB3B}" name="Vendor" dataDxfId="36"/>
    <tableColumn id="7" xr3:uid="{84FF340E-10E6-4225-8CD0-A37F2D079C8E}" name="Payment Mode" dataDxfId="35"/>
    <tableColumn id="8" xr3:uid="{9963CEF2-0180-4F28-90E9-AA4B598B8C13}" name="Amount" dataDxfId="34"/>
    <tableColumn id="9" xr3:uid="{0CD316DD-FF6D-41EC-9E11-F309A330CF65}" name="GST %" dataDxfId="33" dataCellStyle="Percent"/>
    <tableColumn id="10" xr3:uid="{D1794019-FD92-410D-9146-1272A715C6A9}" name="Project" dataDxfId="32"/>
    <tableColumn id="11" xr3:uid="{9BCBA36A-016F-4176-89CE-FD7B5BCC631A}" name="Status" dataDxfId="31"/>
    <tableColumn id="12" xr3:uid="{6220AB1E-4307-4A9D-980A-22F0C710F1B6}" name="Notes" dataDxfId="3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F7F0CE-5CCD-4816-A67A-EFB0C6147042}" name="tblCategories" displayName="tblCategories" ref="A3:B32" totalsRowShown="0" headerRowDxfId="29">
  <autoFilter ref="A3:B32" xr:uid="{9BF7F0CE-5CCD-4816-A67A-EFB0C6147042}"/>
  <tableColumns count="2">
    <tableColumn id="1" xr3:uid="{C6F619F1-4986-45A2-9658-F726D9055473}" name="Category"/>
    <tableColumn id="2" xr3:uid="{27397900-7259-4AF8-B129-9C11D0012C4B}" name="Sub Categori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A670F8-4B41-4508-9F97-6718D9835E44}" name="Table5" displayName="Table5" ref="A3:D8" totalsRowShown="0">
  <autoFilter ref="A3:D8" xr:uid="{2BA670F8-4B41-4508-9F97-6718D9835E44}"/>
  <tableColumns count="4">
    <tableColumn id="1" xr3:uid="{041C9E3B-0A7E-4BD0-93C4-A996D9920BBC}" name="Vendor "/>
    <tableColumn id="2" xr3:uid="{95B82D0E-F6F8-4978-8A5C-532A27225368}" name="Total Expenses" dataDxfId="28">
      <calculatedColumnFormula>SUMIFS(Transactions[Amount],Transactions[Vendor],A4,Transactions[Type],"Expense")</calculatedColumnFormula>
    </tableColumn>
    <tableColumn id="3" xr3:uid="{E6A5264D-D6D1-4B5E-BC7B-7786CB8C2B53}" name="Total Income" dataDxfId="27"/>
    <tableColumn id="4" xr3:uid="{CEC07C2E-27FA-48A6-9F33-E15E08A90F37}" name="Net" dataDxfId="26">
      <calculatedColumnFormula>C4-B4</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99BDA9-0A57-4446-9C86-8984477DE784}" name="Table3" displayName="Table3" ref="A8:G15" totalsRowShown="0">
  <autoFilter ref="A8:G15" xr:uid="{8999BDA9-0A57-4446-9C86-8984477DE784}"/>
  <tableColumns count="7">
    <tableColumn id="1" xr3:uid="{62F9FBD9-69F5-4C82-B4E7-8A1956E11015}" name="Category"/>
    <tableColumn id="2" xr3:uid="{9FAC0125-7D1F-4178-8F55-9A4031798C54}" name="Monthly Budget" dataDxfId="21"/>
    <tableColumn id="3" xr3:uid="{DD7348EA-F448-4C3B-8043-1E0967810DD7}" name="Actual Spend" dataDxfId="20">
      <calculatedColumnFormula>SUMIFS(Transactions[Amount],Transactions[Category],A9,Transactions[Type],"Expense")</calculatedColumnFormula>
    </tableColumn>
    <tableColumn id="4" xr3:uid="{989D6C9B-8209-49F9-818C-5C927641BD87}" name="Remaining" dataDxfId="19">
      <calculatedColumnFormula>B9-C9</calculatedColumnFormula>
    </tableColumn>
    <tableColumn id="5" xr3:uid="{F16C45F2-7688-40EC-9956-340487D29449}" name="Budget Used %" dataCellStyle="Percent">
      <calculatedColumnFormula>IF(B9=0,0,C9/B9)</calculatedColumnFormula>
    </tableColumn>
    <tableColumn id="6" xr3:uid="{18EF9629-1AF7-4BCF-BE4D-D54B0892274B}" name="Status" dataDxfId="18">
      <calculatedColumnFormula>IF(E9&gt;=1,"Over Budget",IF(E9&gt;=0.8,"Warning","Safe"))</calculatedColumnFormula>
    </tableColumn>
    <tableColumn id="7" xr3:uid="{D23BA883-1E18-4172-9C84-2BEC54AD3E8A}" name="Remarks"/>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6F7BDEC-A941-4A54-8DD7-7297F548D43C}" name="Table4" displayName="Table4" ref="A3:E15" totalsRowShown="0" headerRowDxfId="17">
  <autoFilter ref="A3:E15" xr:uid="{56F7BDEC-A941-4A54-8DD7-7297F548D43C}"/>
  <tableColumns count="5">
    <tableColumn id="1" xr3:uid="{C70222A9-845B-431E-AAA2-2D36035357FC}" name="Month"/>
    <tableColumn id="2" xr3:uid="{036F675F-4161-4255-B86E-BBF11DA6C454}" name="Income" dataDxfId="16"/>
    <tableColumn id="3" xr3:uid="{0B7EE17A-131B-4F49-8B95-BB11C820CE8D}" name="Expenses" dataDxfId="15"/>
    <tableColumn id="4" xr3:uid="{E1AA26AB-FBF9-4DE3-9091-CC2AE778D686}" name="Net Cash Flow" dataDxfId="14"/>
    <tableColumn id="5" xr3:uid="{A2EAE7B5-3FBD-4592-A9C7-0CE3818B3B58}" name="Closing Balance" dataDxfId="1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77E37-9C7C-4052-B1D7-151B7AA7BCA5}">
  <sheetPr codeName="Sheet1"/>
  <dimension ref="A1:A30"/>
  <sheetViews>
    <sheetView showGridLines="0" showRowColHeaders="0" zoomScale="82" zoomScaleNormal="63" workbookViewId="0">
      <selection activeCell="V12" sqref="V12"/>
    </sheetView>
  </sheetViews>
  <sheetFormatPr defaultColWidth="8.85546875" defaultRowHeight="15" x14ac:dyDescent="0.25"/>
  <cols>
    <col min="1" max="1" width="3.85546875" style="17" customWidth="1"/>
    <col min="2" max="4" width="10.42578125" style="17" customWidth="1"/>
    <col min="5" max="5" width="5" style="17" customWidth="1"/>
    <col min="6" max="15" width="16" style="17" customWidth="1"/>
    <col min="16" max="16" width="4.140625" style="17" customWidth="1"/>
    <col min="17" max="16384" width="8.85546875" style="17"/>
  </cols>
  <sheetData>
    <row r="1" s="17" customFormat="1" ht="10.9" customHeight="1" x14ac:dyDescent="0.25"/>
    <row r="2" s="17" customFormat="1" x14ac:dyDescent="0.25"/>
    <row r="3" s="17" customFormat="1" ht="26.45" customHeight="1" x14ac:dyDescent="0.25"/>
    <row r="4" s="17" customFormat="1" ht="12.6" customHeight="1" x14ac:dyDescent="0.25"/>
    <row r="5" s="17" customFormat="1" ht="25.9" customHeight="1" x14ac:dyDescent="0.25"/>
    <row r="6" s="17" customFormat="1" ht="25.9" customHeight="1" x14ac:dyDescent="0.25"/>
    <row r="7" s="17" customFormat="1" ht="25.9" customHeight="1" x14ac:dyDescent="0.25"/>
    <row r="8" s="17" customFormat="1" ht="25.9" customHeight="1" x14ac:dyDescent="0.25"/>
    <row r="9" s="17" customFormat="1" ht="25.9" customHeight="1" x14ac:dyDescent="0.25"/>
    <row r="10" s="17" customFormat="1" ht="25.9" customHeight="1" x14ac:dyDescent="0.25"/>
    <row r="11" s="17" customFormat="1" ht="25.9" customHeight="1" x14ac:dyDescent="0.25"/>
    <row r="12" s="17" customFormat="1" ht="25.9" customHeight="1" x14ac:dyDescent="0.25"/>
    <row r="13" s="17" customFormat="1" ht="25.9" customHeight="1" x14ac:dyDescent="0.25"/>
    <row r="14" s="17" customFormat="1" ht="25.9" customHeight="1" x14ac:dyDescent="0.25"/>
    <row r="15" s="17" customFormat="1" ht="25.9" customHeight="1" x14ac:dyDescent="0.25"/>
    <row r="16" s="17" customFormat="1" ht="25.9" customHeight="1" x14ac:dyDescent="0.25"/>
    <row r="17" s="17" customFormat="1" ht="25.9" customHeight="1" x14ac:dyDescent="0.25"/>
    <row r="18" s="17" customFormat="1" ht="25.9" customHeight="1" x14ac:dyDescent="0.25"/>
    <row r="19" s="17" customFormat="1" ht="25.9" customHeight="1" x14ac:dyDescent="0.25"/>
    <row r="20" s="17" customFormat="1" ht="25.9" customHeight="1" x14ac:dyDescent="0.25"/>
    <row r="21" s="17" customFormat="1" ht="25.9" customHeight="1" x14ac:dyDescent="0.25"/>
    <row r="22" s="17" customFormat="1" ht="25.9" customHeight="1" x14ac:dyDescent="0.25"/>
    <row r="23" s="17" customFormat="1" ht="25.9" customHeight="1" x14ac:dyDescent="0.25"/>
    <row r="24" s="17" customFormat="1" ht="25.9" customHeight="1" x14ac:dyDescent="0.25"/>
    <row r="25" s="17" customFormat="1" ht="25.9" customHeight="1" x14ac:dyDescent="0.25"/>
    <row r="26" s="17" customFormat="1" ht="25.9" customHeight="1" x14ac:dyDescent="0.25"/>
    <row r="27" s="17" customFormat="1" ht="25.9" customHeight="1" x14ac:dyDescent="0.25"/>
    <row r="28" s="17" customFormat="1" ht="25.9" customHeight="1" x14ac:dyDescent="0.25"/>
    <row r="29" s="17" customFormat="1" ht="25.9" customHeight="1" x14ac:dyDescent="0.25"/>
    <row r="30" s="17" customFormat="1" ht="25.9"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07475-0510-4CF6-B13A-0845D02588ED}">
  <sheetPr codeName="Sheet2"/>
  <dimension ref="A1:L8"/>
  <sheetViews>
    <sheetView showGridLines="0" topLeftCell="B1" zoomScaleNormal="100" workbookViewId="0">
      <selection activeCell="G14" sqref="G14"/>
    </sheetView>
  </sheetViews>
  <sheetFormatPr defaultRowHeight="15" x14ac:dyDescent="0.25"/>
  <cols>
    <col min="1" max="1" width="15.7109375" customWidth="1"/>
    <col min="2" max="2" width="14.7109375" style="6" customWidth="1"/>
    <col min="3" max="3" width="12.7109375" customWidth="1"/>
    <col min="4" max="4" width="18.5703125" customWidth="1"/>
    <col min="5" max="5" width="20.7109375" customWidth="1"/>
    <col min="6" max="6" width="20.28515625" customWidth="1"/>
    <col min="7" max="7" width="17.7109375" customWidth="1"/>
    <col min="8" max="8" width="14.42578125" style="8" customWidth="1"/>
    <col min="9" max="9" width="10.85546875" style="2" customWidth="1"/>
    <col min="10" max="10" width="18.7109375" customWidth="1"/>
    <col min="11" max="11" width="13.28515625" customWidth="1"/>
    <col min="12" max="12" width="30.7109375" customWidth="1"/>
  </cols>
  <sheetData>
    <row r="1" spans="1:12" s="1" customFormat="1" ht="26.25" x14ac:dyDescent="0.45">
      <c r="A1" s="21" t="s">
        <v>0</v>
      </c>
      <c r="B1" s="21"/>
      <c r="C1" s="21"/>
      <c r="D1" s="21"/>
      <c r="E1" s="21"/>
      <c r="F1" s="21"/>
      <c r="G1" s="21"/>
      <c r="H1" s="21"/>
      <c r="I1" s="21"/>
      <c r="J1" s="21"/>
      <c r="K1" s="21"/>
      <c r="L1" s="21"/>
    </row>
    <row r="3" spans="1:12" s="1" customFormat="1" x14ac:dyDescent="0.25">
      <c r="A3" t="s">
        <v>1</v>
      </c>
      <c r="B3" s="4" t="s">
        <v>2</v>
      </c>
      <c r="C3" s="5" t="s">
        <v>3</v>
      </c>
      <c r="D3" s="5" t="s">
        <v>4</v>
      </c>
      <c r="E3" s="5" t="s">
        <v>5</v>
      </c>
      <c r="F3" s="5" t="s">
        <v>6</v>
      </c>
      <c r="G3" s="5" t="s">
        <v>7</v>
      </c>
      <c r="H3" s="9" t="s">
        <v>8</v>
      </c>
      <c r="I3" s="3" t="s">
        <v>9</v>
      </c>
      <c r="J3" s="5" t="s">
        <v>10</v>
      </c>
      <c r="K3" s="5" t="s">
        <v>11</v>
      </c>
      <c r="L3" s="5" t="s">
        <v>12</v>
      </c>
    </row>
    <row r="4" spans="1:12" x14ac:dyDescent="0.25">
      <c r="A4" t="str">
        <f>"TX"&amp;TEXT(ROWS($A$4:A4),"0000")</f>
        <v>TX0001</v>
      </c>
      <c r="B4" s="6">
        <v>46204</v>
      </c>
      <c r="C4" t="s">
        <v>13</v>
      </c>
      <c r="D4" t="s">
        <v>17</v>
      </c>
      <c r="E4" t="s">
        <v>26</v>
      </c>
      <c r="F4" t="s">
        <v>18</v>
      </c>
      <c r="G4" t="s">
        <v>19</v>
      </c>
      <c r="H4" s="8">
        <v>5000</v>
      </c>
      <c r="I4" s="2">
        <v>0.18</v>
      </c>
      <c r="J4" t="s">
        <v>20</v>
      </c>
      <c r="K4" t="s">
        <v>21</v>
      </c>
      <c r="L4" t="s">
        <v>127</v>
      </c>
    </row>
    <row r="5" spans="1:12" x14ac:dyDescent="0.25">
      <c r="A5" t="str">
        <f>"TX"&amp;TEXT(ROWS($A$4:A5),"0000")</f>
        <v>TX0002</v>
      </c>
      <c r="B5" s="6">
        <v>46205</v>
      </c>
      <c r="C5" t="s">
        <v>13</v>
      </c>
      <c r="D5" t="s">
        <v>22</v>
      </c>
      <c r="E5" t="s">
        <v>45</v>
      </c>
      <c r="F5" t="s">
        <v>89</v>
      </c>
      <c r="G5" t="s">
        <v>70</v>
      </c>
      <c r="H5" s="8">
        <v>2000</v>
      </c>
      <c r="I5" s="2">
        <v>0.18</v>
      </c>
      <c r="J5" t="s">
        <v>20</v>
      </c>
      <c r="K5" t="s">
        <v>21</v>
      </c>
      <c r="L5" t="s">
        <v>35</v>
      </c>
    </row>
    <row r="6" spans="1:12" x14ac:dyDescent="0.25">
      <c r="A6" t="str">
        <f>"TX"&amp;TEXT(ROWS($A$4:A6),"0000")</f>
        <v>TX0003</v>
      </c>
      <c r="B6" s="6">
        <v>46206</v>
      </c>
      <c r="C6" t="s">
        <v>14</v>
      </c>
      <c r="D6" t="s">
        <v>23</v>
      </c>
      <c r="E6" t="s">
        <v>129</v>
      </c>
      <c r="F6" t="s">
        <v>29</v>
      </c>
      <c r="G6" t="s">
        <v>69</v>
      </c>
      <c r="H6" s="8">
        <v>50000</v>
      </c>
      <c r="I6" s="2">
        <v>0</v>
      </c>
      <c r="J6" t="s">
        <v>20</v>
      </c>
      <c r="K6" t="s">
        <v>34</v>
      </c>
      <c r="L6" t="s">
        <v>36</v>
      </c>
    </row>
    <row r="7" spans="1:12" x14ac:dyDescent="0.25">
      <c r="A7" t="str">
        <f>"TX"&amp;TEXT(ROWS($A$4:A7),"0000")</f>
        <v>TX0004</v>
      </c>
      <c r="B7" s="6">
        <v>46207</v>
      </c>
      <c r="C7" t="s">
        <v>13</v>
      </c>
      <c r="D7" t="s">
        <v>24</v>
      </c>
      <c r="E7" t="s">
        <v>27</v>
      </c>
      <c r="F7" t="s">
        <v>30</v>
      </c>
      <c r="G7" t="s">
        <v>32</v>
      </c>
      <c r="H7" s="8">
        <v>3500</v>
      </c>
      <c r="I7" s="2">
        <v>0</v>
      </c>
      <c r="J7" t="s">
        <v>24</v>
      </c>
      <c r="K7" t="s">
        <v>21</v>
      </c>
      <c r="L7" t="s">
        <v>37</v>
      </c>
    </row>
    <row r="8" spans="1:12" x14ac:dyDescent="0.25">
      <c r="A8" t="str">
        <f>"TX"&amp;TEXT(ROWS($A$4:A8),"0000")</f>
        <v>TX0005</v>
      </c>
      <c r="B8" s="6">
        <v>46208</v>
      </c>
      <c r="C8" t="s">
        <v>13</v>
      </c>
      <c r="D8" t="s">
        <v>25</v>
      </c>
      <c r="E8" t="s">
        <v>28</v>
      </c>
      <c r="F8" t="s">
        <v>31</v>
      </c>
      <c r="G8" t="s">
        <v>19</v>
      </c>
      <c r="H8" s="8">
        <v>2500</v>
      </c>
      <c r="I8" s="2">
        <v>0</v>
      </c>
      <c r="J8" t="s">
        <v>33</v>
      </c>
      <c r="K8" t="s">
        <v>21</v>
      </c>
      <c r="L8" t="s">
        <v>38</v>
      </c>
    </row>
  </sheetData>
  <mergeCells count="1">
    <mergeCell ref="A1:L1"/>
  </mergeCells>
  <phoneticPr fontId="4" type="noConversion"/>
  <conditionalFormatting sqref="K1:K1048576">
    <cfRule type="cellIs" dxfId="46" priority="1" operator="equal">
      <formula>"Cancelled"</formula>
    </cfRule>
    <cfRule type="cellIs" dxfId="45" priority="2" operator="equal">
      <formula>"Received"</formula>
    </cfRule>
    <cfRule type="cellIs" dxfId="44" priority="3" operator="equal">
      <formula>"Paid"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8681B1AF-2236-40B2-B3A8-8FE3C4F83ACD}">
          <x14:formula1>
            <xm:f>Settings!$A:$A</xm:f>
          </x14:formula1>
          <xm:sqref>C4:C1048576</xm:sqref>
        </x14:dataValidation>
        <x14:dataValidation type="list" allowBlank="1" showInputMessage="1" showErrorMessage="1" xr:uid="{E90C501E-6CC7-437D-98C1-0B72C9C55800}">
          <x14:formula1>
            <xm:f>Settings!$C$2:$C$14</xm:f>
          </x14:formula1>
          <xm:sqref>G4:G1048576</xm:sqref>
        </x14:dataValidation>
        <x14:dataValidation type="list" allowBlank="1" showInputMessage="1" showErrorMessage="1" xr:uid="{40ECEE3E-AA87-4688-8ECE-B733EFAFE6F0}">
          <x14:formula1>
            <xm:f>Settings!$E$2:$E$8</xm:f>
          </x14:formula1>
          <xm:sqref>K4:K1048576</xm:sqref>
        </x14:dataValidation>
        <x14:dataValidation type="list" allowBlank="1" showInputMessage="1" showErrorMessage="1" xr:uid="{91B6B241-D460-43DE-8709-836B328D65C8}">
          <x14:formula1>
            <xm:f>Settings!$G$2:$G$45</xm:f>
          </x14:formula1>
          <xm:sqref>D4:D1048576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30A36-7B1A-4AAA-80E6-AE8A906F0501}">
  <sheetPr codeName="Sheet3"/>
  <dimension ref="A1:B32"/>
  <sheetViews>
    <sheetView workbookViewId="0">
      <selection activeCell="B4" sqref="B4"/>
    </sheetView>
  </sheetViews>
  <sheetFormatPr defaultRowHeight="15" x14ac:dyDescent="0.25"/>
  <cols>
    <col min="1" max="1" width="28.140625" customWidth="1"/>
    <col min="2" max="2" width="15.28515625" customWidth="1"/>
  </cols>
  <sheetData>
    <row r="1" spans="1:2" ht="26.25" x14ac:dyDescent="0.45">
      <c r="A1" s="22" t="s">
        <v>39</v>
      </c>
      <c r="B1" s="22"/>
    </row>
    <row r="3" spans="1:2" x14ac:dyDescent="0.25">
      <c r="A3" s="1" t="s">
        <v>4</v>
      </c>
      <c r="B3" s="1" t="s">
        <v>40</v>
      </c>
    </row>
    <row r="4" spans="1:2" x14ac:dyDescent="0.25">
      <c r="A4" t="s">
        <v>17</v>
      </c>
      <c r="B4" t="s">
        <v>26</v>
      </c>
    </row>
    <row r="5" spans="1:2" x14ac:dyDescent="0.25">
      <c r="A5" t="s">
        <v>17</v>
      </c>
      <c r="B5" t="s">
        <v>41</v>
      </c>
    </row>
    <row r="6" spans="1:2" x14ac:dyDescent="0.25">
      <c r="A6" t="s">
        <v>17</v>
      </c>
      <c r="B6" t="s">
        <v>42</v>
      </c>
    </row>
    <row r="7" spans="1:2" x14ac:dyDescent="0.25">
      <c r="A7" t="s">
        <v>17</v>
      </c>
      <c r="B7" t="s">
        <v>43</v>
      </c>
    </row>
    <row r="8" spans="1:2" x14ac:dyDescent="0.25">
      <c r="A8" t="s">
        <v>17</v>
      </c>
      <c r="B8" t="s">
        <v>44</v>
      </c>
    </row>
    <row r="9" spans="1:2" x14ac:dyDescent="0.25">
      <c r="A9" t="s">
        <v>22</v>
      </c>
      <c r="B9" t="s">
        <v>45</v>
      </c>
    </row>
    <row r="10" spans="1:2" x14ac:dyDescent="0.25">
      <c r="A10" t="s">
        <v>22</v>
      </c>
      <c r="B10" t="s">
        <v>46</v>
      </c>
    </row>
    <row r="11" spans="1:2" x14ac:dyDescent="0.25">
      <c r="A11" t="s">
        <v>22</v>
      </c>
      <c r="B11" t="s">
        <v>47</v>
      </c>
    </row>
    <row r="12" spans="1:2" x14ac:dyDescent="0.25">
      <c r="A12" t="s">
        <v>22</v>
      </c>
      <c r="B12" t="s">
        <v>48</v>
      </c>
    </row>
    <row r="13" spans="1:2" x14ac:dyDescent="0.25">
      <c r="A13" t="s">
        <v>22</v>
      </c>
      <c r="B13" t="s">
        <v>49</v>
      </c>
    </row>
    <row r="14" spans="1:2" x14ac:dyDescent="0.25">
      <c r="A14" t="s">
        <v>24</v>
      </c>
      <c r="B14" t="s">
        <v>50</v>
      </c>
    </row>
    <row r="15" spans="1:2" x14ac:dyDescent="0.25">
      <c r="A15" t="s">
        <v>24</v>
      </c>
      <c r="B15" t="s">
        <v>27</v>
      </c>
    </row>
    <row r="16" spans="1:2" x14ac:dyDescent="0.25">
      <c r="A16" t="s">
        <v>24</v>
      </c>
      <c r="B16" t="s">
        <v>51</v>
      </c>
    </row>
    <row r="17" spans="1:2" x14ac:dyDescent="0.25">
      <c r="A17" t="s">
        <v>24</v>
      </c>
      <c r="B17" t="s">
        <v>52</v>
      </c>
    </row>
    <row r="18" spans="1:2" x14ac:dyDescent="0.25">
      <c r="A18" t="s">
        <v>24</v>
      </c>
      <c r="B18" t="s">
        <v>53</v>
      </c>
    </row>
    <row r="19" spans="1:2" x14ac:dyDescent="0.25">
      <c r="A19" t="s">
        <v>25</v>
      </c>
      <c r="B19" t="s">
        <v>28</v>
      </c>
    </row>
    <row r="20" spans="1:2" x14ac:dyDescent="0.25">
      <c r="A20" t="s">
        <v>25</v>
      </c>
      <c r="B20" t="s">
        <v>54</v>
      </c>
    </row>
    <row r="21" spans="1:2" x14ac:dyDescent="0.25">
      <c r="A21" t="s">
        <v>25</v>
      </c>
      <c r="B21" t="s">
        <v>55</v>
      </c>
    </row>
    <row r="22" spans="1:2" x14ac:dyDescent="0.25">
      <c r="A22" t="s">
        <v>25</v>
      </c>
      <c r="B22" t="s">
        <v>56</v>
      </c>
    </row>
    <row r="23" spans="1:2" x14ac:dyDescent="0.25">
      <c r="A23" t="s">
        <v>57</v>
      </c>
      <c r="B23" t="s">
        <v>58</v>
      </c>
    </row>
    <row r="24" spans="1:2" x14ac:dyDescent="0.25">
      <c r="A24" t="s">
        <v>57</v>
      </c>
      <c r="B24" t="s">
        <v>59</v>
      </c>
    </row>
    <row r="25" spans="1:2" x14ac:dyDescent="0.25">
      <c r="A25" t="s">
        <v>57</v>
      </c>
      <c r="B25" t="s">
        <v>60</v>
      </c>
    </row>
    <row r="26" spans="1:2" x14ac:dyDescent="0.25">
      <c r="A26" t="s">
        <v>57</v>
      </c>
      <c r="B26" t="s">
        <v>27</v>
      </c>
    </row>
    <row r="27" spans="1:2" x14ac:dyDescent="0.25">
      <c r="A27" t="s">
        <v>61</v>
      </c>
      <c r="B27" t="s">
        <v>62</v>
      </c>
    </row>
    <row r="28" spans="1:2" x14ac:dyDescent="0.25">
      <c r="A28" t="s">
        <v>61</v>
      </c>
      <c r="B28" t="s">
        <v>63</v>
      </c>
    </row>
    <row r="29" spans="1:2" x14ac:dyDescent="0.25">
      <c r="A29" t="s">
        <v>61</v>
      </c>
      <c r="B29" t="s">
        <v>64</v>
      </c>
    </row>
    <row r="30" spans="1:2" x14ac:dyDescent="0.25">
      <c r="A30" t="s">
        <v>68</v>
      </c>
      <c r="B30" t="s">
        <v>65</v>
      </c>
    </row>
    <row r="31" spans="1:2" x14ac:dyDescent="0.25">
      <c r="A31" t="s">
        <v>68</v>
      </c>
      <c r="B31" t="s">
        <v>66</v>
      </c>
    </row>
    <row r="32" spans="1:2" x14ac:dyDescent="0.25">
      <c r="A32" t="s">
        <v>68</v>
      </c>
      <c r="B32" t="s">
        <v>67</v>
      </c>
    </row>
  </sheetData>
  <mergeCells count="1">
    <mergeCell ref="A1:B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70D41-5D78-45E0-AAAF-1F2056AF450E}">
  <sheetPr codeName="Sheet4"/>
  <dimension ref="A1:D8"/>
  <sheetViews>
    <sheetView showGridLines="0" zoomScale="160" zoomScaleNormal="160" workbookViewId="0">
      <selection activeCell="B5" sqref="B5"/>
    </sheetView>
  </sheetViews>
  <sheetFormatPr defaultRowHeight="15" x14ac:dyDescent="0.25"/>
  <cols>
    <col min="1" max="1" width="18.7109375" customWidth="1"/>
    <col min="2" max="2" width="15.42578125" style="8" customWidth="1"/>
    <col min="3" max="3" width="14.85546875" style="8" customWidth="1"/>
    <col min="4" max="4" width="11.85546875" style="8" customWidth="1"/>
  </cols>
  <sheetData>
    <row r="1" spans="1:4" ht="26.25" x14ac:dyDescent="0.45">
      <c r="A1" s="22" t="s">
        <v>113</v>
      </c>
      <c r="B1" s="22"/>
      <c r="C1" s="22"/>
      <c r="D1" s="22"/>
    </row>
    <row r="3" spans="1:4" x14ac:dyDescent="0.25">
      <c r="A3" t="s">
        <v>114</v>
      </c>
      <c r="B3" s="8" t="s">
        <v>115</v>
      </c>
      <c r="C3" s="8" t="s">
        <v>116</v>
      </c>
      <c r="D3" s="8" t="s">
        <v>117</v>
      </c>
    </row>
    <row r="4" spans="1:4" x14ac:dyDescent="0.25">
      <c r="A4" t="s">
        <v>18</v>
      </c>
      <c r="B4" s="8">
        <f>SUMIFS(Transactions[Amount],Transactions[Vendor],A4,Transactions[Type],"Expense")</f>
        <v>5000</v>
      </c>
      <c r="C4" s="8">
        <f>SUMIFS(Transactions[Amount],Transactions[Vendor],A4,Transactions[Type],"Income")</f>
        <v>0</v>
      </c>
      <c r="D4" s="8">
        <f>C4-B4</f>
        <v>-5000</v>
      </c>
    </row>
    <row r="5" spans="1:4" x14ac:dyDescent="0.25">
      <c r="A5" t="s">
        <v>89</v>
      </c>
      <c r="B5" s="8">
        <f>SUMIFS(Transactions[Amount],Transactions[Vendor],A5,Transactions[Type],"Expense")</f>
        <v>2000</v>
      </c>
      <c r="C5" s="8">
        <f>SUMIFS(Transactions[Amount],Transactions[Vendor],A5,Transactions[Type],"Income")</f>
        <v>0</v>
      </c>
      <c r="D5" s="8">
        <f t="shared" ref="D5:D8" si="0">C5-B5</f>
        <v>-2000</v>
      </c>
    </row>
    <row r="6" spans="1:4" x14ac:dyDescent="0.25">
      <c r="A6" t="s">
        <v>29</v>
      </c>
      <c r="B6" s="8">
        <f>SUMIFS(Transactions[Amount],Transactions[Vendor],A6,Transactions[Type],"Expense")</f>
        <v>0</v>
      </c>
      <c r="C6" s="8">
        <f>SUMIFS(Transactions[Amount],Transactions[Vendor],A6,Transactions[Type],"Income")</f>
        <v>50000</v>
      </c>
      <c r="D6" s="8">
        <f t="shared" si="0"/>
        <v>50000</v>
      </c>
    </row>
    <row r="7" spans="1:4" x14ac:dyDescent="0.25">
      <c r="A7" t="s">
        <v>118</v>
      </c>
      <c r="B7" s="8">
        <f>SUMIFS(Transactions[Amount],Transactions[Vendor],A7,Transactions[Type],"Expense")</f>
        <v>3500</v>
      </c>
      <c r="C7" s="8">
        <f>SUMIFS(Transactions[Amount],Transactions[Vendor],A7,Transactions[Type],"Income")</f>
        <v>0</v>
      </c>
      <c r="D7" s="8">
        <f t="shared" si="0"/>
        <v>-3500</v>
      </c>
    </row>
    <row r="8" spans="1:4" x14ac:dyDescent="0.25">
      <c r="A8" t="s">
        <v>31</v>
      </c>
      <c r="B8" s="8">
        <f>SUMIFS(Transactions[Amount],Transactions[Vendor],A8,Transactions[Type],"Expense")</f>
        <v>2500</v>
      </c>
      <c r="C8" s="8">
        <f>SUMIFS(Transactions[Amount],Transactions[Vendor],A8,Transactions[Type],"Income")</f>
        <v>0</v>
      </c>
      <c r="D8" s="8">
        <f t="shared" si="0"/>
        <v>-2500</v>
      </c>
    </row>
  </sheetData>
  <mergeCells count="1">
    <mergeCell ref="A1:D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28A25-057E-42BD-B4C6-59CC5FDE49C8}">
  <sheetPr codeName="Sheet5"/>
  <dimension ref="A1:R15"/>
  <sheetViews>
    <sheetView showGridLines="0" showRowColHeaders="0" tabSelected="1" zoomScale="195" workbookViewId="0">
      <selection activeCell="O12" sqref="O12"/>
    </sheetView>
  </sheetViews>
  <sheetFormatPr defaultRowHeight="15" x14ac:dyDescent="0.25"/>
  <cols>
    <col min="1" max="1" width="10.28515625" customWidth="1"/>
    <col min="2" max="2" width="18.28515625" style="8" customWidth="1"/>
    <col min="3" max="3" width="16.7109375" style="8" customWidth="1"/>
    <col min="4" max="4" width="14" style="8" customWidth="1"/>
    <col min="5" max="5" width="16.140625" style="7" customWidth="1"/>
    <col min="7" max="7" width="10.28515625" customWidth="1"/>
    <col min="18" max="18" width="14.7109375" style="10" customWidth="1"/>
    <col min="19" max="19" width="12.42578125" bestFit="1" customWidth="1"/>
    <col min="20" max="20" width="19.42578125" bestFit="1" customWidth="1"/>
    <col min="126" max="126" width="12.42578125" bestFit="1" customWidth="1"/>
    <col min="127" max="127" width="19.42578125" bestFit="1" customWidth="1"/>
  </cols>
  <sheetData>
    <row r="1" spans="1:18" ht="26.25" x14ac:dyDescent="0.45">
      <c r="A1" s="21" t="s">
        <v>83</v>
      </c>
      <c r="B1" s="21"/>
      <c r="C1" s="21"/>
      <c r="D1" s="21"/>
      <c r="E1" s="21"/>
      <c r="F1" s="21"/>
      <c r="G1" s="21"/>
    </row>
    <row r="2" spans="1:18" x14ac:dyDescent="0.25">
      <c r="R2" s="11">
        <f>SUM(B9:B1048576)</f>
        <v>143000</v>
      </c>
    </row>
    <row r="3" spans="1:18" x14ac:dyDescent="0.25">
      <c r="R3" s="11">
        <f>SUM(C9:C1048576)</f>
        <v>13000</v>
      </c>
    </row>
    <row r="4" spans="1:18" x14ac:dyDescent="0.25">
      <c r="R4" s="11">
        <f>SUM(D9:D1048576)</f>
        <v>130000</v>
      </c>
    </row>
    <row r="5" spans="1:18" x14ac:dyDescent="0.25">
      <c r="R5" s="12">
        <f>SUM(C9:C1048576)/SUM(B9:B1048576)</f>
        <v>9.0909090909090912E-2</v>
      </c>
    </row>
    <row r="6" spans="1:18" x14ac:dyDescent="0.25">
      <c r="R6" s="11"/>
    </row>
    <row r="8" spans="1:18" x14ac:dyDescent="0.25">
      <c r="A8" t="s">
        <v>4</v>
      </c>
      <c r="B8" s="8" t="s">
        <v>84</v>
      </c>
      <c r="C8" s="8" t="s">
        <v>85</v>
      </c>
      <c r="D8" s="8" t="s">
        <v>86</v>
      </c>
      <c r="E8" s="7" t="s">
        <v>87</v>
      </c>
      <c r="F8" t="s">
        <v>11</v>
      </c>
      <c r="G8" t="s">
        <v>88</v>
      </c>
    </row>
    <row r="9" spans="1:18" x14ac:dyDescent="0.25">
      <c r="A9" t="s">
        <v>17</v>
      </c>
      <c r="B9" s="8">
        <v>20000</v>
      </c>
      <c r="C9" s="8">
        <f>SUMIFS(Transactions[Amount],Transactions[Category],A9,Transactions[Type],"Expense")</f>
        <v>5000</v>
      </c>
      <c r="D9" s="8">
        <f>B9-C9</f>
        <v>15000</v>
      </c>
      <c r="E9" s="7">
        <f>IF(B9=0,0,C9/B9)</f>
        <v>0.25</v>
      </c>
      <c r="F9" t="str">
        <f t="shared" ref="F9:F15" si="0">IF(E9&gt;=1,"Over Budget",IF(E9&gt;=0.8,"Warning","Safe"))</f>
        <v>Safe</v>
      </c>
    </row>
    <row r="10" spans="1:18" x14ac:dyDescent="0.25">
      <c r="A10" t="s">
        <v>22</v>
      </c>
      <c r="B10" s="8">
        <v>10000</v>
      </c>
      <c r="C10" s="8">
        <f>SUMIFS(Transactions[Amount],Transactions[Category],A10,Transactions[Type],"Expense")</f>
        <v>2000</v>
      </c>
      <c r="D10" s="8">
        <f t="shared" ref="D10:D15" si="1">B10-C10</f>
        <v>8000</v>
      </c>
      <c r="E10" s="7">
        <f t="shared" ref="E10:E15" si="2">IF(B10=0,0,C10/B10)</f>
        <v>0.2</v>
      </c>
      <c r="F10" t="str">
        <f t="shared" si="0"/>
        <v>Safe</v>
      </c>
    </row>
    <row r="11" spans="1:18" x14ac:dyDescent="0.25">
      <c r="A11" t="s">
        <v>61</v>
      </c>
      <c r="B11" s="8">
        <v>50000</v>
      </c>
      <c r="C11" s="8">
        <f>SUMIFS(Transactions[Amount],Transactions[Category],A11,Transactions[Type],"Expense")</f>
        <v>0</v>
      </c>
      <c r="D11" s="8">
        <f t="shared" si="1"/>
        <v>50000</v>
      </c>
      <c r="E11" s="7">
        <f t="shared" si="2"/>
        <v>0</v>
      </c>
      <c r="F11" t="str">
        <f t="shared" si="0"/>
        <v>Safe</v>
      </c>
    </row>
    <row r="12" spans="1:18" x14ac:dyDescent="0.25">
      <c r="A12" t="s">
        <v>24</v>
      </c>
      <c r="B12" s="8">
        <v>15000</v>
      </c>
      <c r="C12" s="8">
        <f>SUMIFS(Transactions[Amount],Transactions[Category],A12,Transactions[Type],"Expense")</f>
        <v>3500</v>
      </c>
      <c r="D12" s="8">
        <f t="shared" si="1"/>
        <v>11500</v>
      </c>
      <c r="E12" s="7">
        <f t="shared" si="2"/>
        <v>0.23333333333333334</v>
      </c>
      <c r="F12" t="str">
        <f t="shared" si="0"/>
        <v>Safe</v>
      </c>
    </row>
    <row r="13" spans="1:18" x14ac:dyDescent="0.25">
      <c r="A13" t="s">
        <v>25</v>
      </c>
      <c r="B13" s="8">
        <v>10000</v>
      </c>
      <c r="C13" s="8">
        <f>SUMIFS(Transactions[Amount],Transactions[Category],A13,Transactions[Type],"Expense")</f>
        <v>2500</v>
      </c>
      <c r="D13" s="8">
        <f t="shared" si="1"/>
        <v>7500</v>
      </c>
      <c r="E13" s="7">
        <f t="shared" si="2"/>
        <v>0.25</v>
      </c>
      <c r="F13" t="str">
        <f t="shared" si="0"/>
        <v>Safe</v>
      </c>
    </row>
    <row r="14" spans="1:18" x14ac:dyDescent="0.25">
      <c r="A14" t="s">
        <v>57</v>
      </c>
      <c r="B14" s="8">
        <v>8000</v>
      </c>
      <c r="C14" s="8">
        <f>SUMIFS(Transactions[Amount],Transactions[Category],A14,Transactions[Type],"Expense")</f>
        <v>0</v>
      </c>
      <c r="D14" s="8">
        <f t="shared" si="1"/>
        <v>8000</v>
      </c>
      <c r="E14" s="7">
        <f t="shared" si="2"/>
        <v>0</v>
      </c>
      <c r="F14" t="str">
        <f t="shared" si="0"/>
        <v>Safe</v>
      </c>
    </row>
    <row r="15" spans="1:18" x14ac:dyDescent="0.25">
      <c r="A15" t="s">
        <v>68</v>
      </c>
      <c r="B15" s="8">
        <v>30000</v>
      </c>
      <c r="C15" s="8">
        <f>SUMIFS(Transactions[Amount],Transactions[Category],A15,Transactions[Type],"Expense")</f>
        <v>0</v>
      </c>
      <c r="D15" s="8">
        <f t="shared" si="1"/>
        <v>30000</v>
      </c>
      <c r="E15" s="7">
        <f t="shared" si="2"/>
        <v>0</v>
      </c>
      <c r="F15" t="str">
        <f t="shared" si="0"/>
        <v>Safe</v>
      </c>
    </row>
  </sheetData>
  <mergeCells count="1">
    <mergeCell ref="A1:G1"/>
  </mergeCells>
  <conditionalFormatting sqref="F1 F19:F1048576 F7:F15">
    <cfRule type="cellIs" dxfId="25" priority="3" operator="equal">
      <formula>"Safe"</formula>
    </cfRule>
    <cfRule type="cellIs" dxfId="24" priority="5" operator="equal">
      <formula>"Over Budget"</formula>
    </cfRule>
    <cfRule type="cellIs" dxfId="23" priority="6" operator="equal">
      <formula>"Warning"</formula>
    </cfRule>
    <cfRule type="cellIs" dxfId="22" priority="7" stopIfTrue="1" operator="equal">
      <formula>"Safe"</formula>
    </cfRule>
  </conditionalFormatting>
  <conditionalFormatting sqref="E19:E1048576 E7:E15 E1">
    <cfRule type="dataBar" priority="21">
      <dataBar>
        <cfvo type="min"/>
        <cfvo type="max"/>
        <color rgb="FF63C384"/>
      </dataBar>
      <extLst>
        <ext xmlns:x14="http://schemas.microsoft.com/office/spreadsheetml/2009/9/main" uri="{B025F937-C7B1-47D3-B67F-A62EFF666E3E}">
          <x14:id>{EAD4B043-CB64-47DD-AD4E-C0040DA4A599}</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AD4B043-CB64-47DD-AD4E-C0040DA4A599}">
            <x14:dataBar minLength="0" maxLength="100" border="1" negativeBarBorderColorSameAsPositive="0">
              <x14:cfvo type="autoMin"/>
              <x14:cfvo type="autoMax"/>
              <x14:borderColor rgb="FF63C384"/>
              <x14:negativeFillColor rgb="FFFF0000"/>
              <x14:negativeBorderColor rgb="FFFF0000"/>
              <x14:axisColor rgb="FF000000"/>
            </x14:dataBar>
          </x14:cfRule>
          <xm:sqref>E19:E1048576 E7:E15 E1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2B97C-CE4C-48ED-8F14-C985DD4A564C}">
  <sheetPr codeName="Sheet6"/>
  <dimension ref="A1:I15"/>
  <sheetViews>
    <sheetView showGridLines="0" workbookViewId="0">
      <selection activeCell="I11" sqref="I11"/>
    </sheetView>
  </sheetViews>
  <sheetFormatPr defaultRowHeight="15" x14ac:dyDescent="0.25"/>
  <cols>
    <col min="1" max="1" width="10.85546875" customWidth="1"/>
    <col min="2" max="2" width="11.42578125" style="10" customWidth="1"/>
    <col min="3" max="3" width="12" style="10" customWidth="1"/>
    <col min="4" max="4" width="15.85546875" style="10" customWidth="1"/>
    <col min="5" max="5" width="17.140625" style="10" customWidth="1"/>
    <col min="7" max="7" width="15.28515625" style="14" customWidth="1"/>
  </cols>
  <sheetData>
    <row r="1" spans="1:9" ht="26.25" x14ac:dyDescent="0.25">
      <c r="A1" s="23" t="s">
        <v>90</v>
      </c>
      <c r="B1" s="23"/>
      <c r="C1" s="23"/>
      <c r="D1" s="23"/>
      <c r="E1" s="23"/>
    </row>
    <row r="2" spans="1:9" x14ac:dyDescent="0.25">
      <c r="A2" s="10"/>
    </row>
    <row r="3" spans="1:9" x14ac:dyDescent="0.25">
      <c r="A3" t="s">
        <v>91</v>
      </c>
      <c r="B3" s="10" t="s">
        <v>14</v>
      </c>
      <c r="C3" s="10" t="s">
        <v>92</v>
      </c>
      <c r="D3" s="10" t="s">
        <v>93</v>
      </c>
      <c r="E3" s="10" t="s">
        <v>94</v>
      </c>
      <c r="G3" s="14" t="s">
        <v>107</v>
      </c>
    </row>
    <row r="4" spans="1:9" x14ac:dyDescent="0.25">
      <c r="A4" t="s">
        <v>95</v>
      </c>
      <c r="G4" s="14">
        <v>100000</v>
      </c>
    </row>
    <row r="5" spans="1:9" x14ac:dyDescent="0.25">
      <c r="A5" t="s">
        <v>96</v>
      </c>
    </row>
    <row r="6" spans="1:9" x14ac:dyDescent="0.25">
      <c r="A6" t="s">
        <v>97</v>
      </c>
      <c r="I6" s="13"/>
    </row>
    <row r="7" spans="1:9" x14ac:dyDescent="0.25">
      <c r="A7" t="s">
        <v>98</v>
      </c>
    </row>
    <row r="8" spans="1:9" x14ac:dyDescent="0.25">
      <c r="A8" t="s">
        <v>99</v>
      </c>
    </row>
    <row r="9" spans="1:9" x14ac:dyDescent="0.25">
      <c r="A9" t="s">
        <v>100</v>
      </c>
    </row>
    <row r="10" spans="1:9" x14ac:dyDescent="0.25">
      <c r="A10" t="s">
        <v>101</v>
      </c>
      <c r="B10" s="10">
        <f>SUMIFS(Transactions[Amount],Transactions[Type],"Income")</f>
        <v>50000</v>
      </c>
      <c r="C10" s="10">
        <f>SUMIFS(Transactions[Amount],Transactions[Type],"Expense")</f>
        <v>13000</v>
      </c>
      <c r="D10" s="10">
        <f>B10-C10</f>
        <v>37000</v>
      </c>
      <c r="E10" s="10">
        <f>$G$4+D10</f>
        <v>137000</v>
      </c>
    </row>
    <row r="11" spans="1:9" x14ac:dyDescent="0.25">
      <c r="A11" t="s">
        <v>102</v>
      </c>
    </row>
    <row r="12" spans="1:9" x14ac:dyDescent="0.25">
      <c r="A12" t="s">
        <v>103</v>
      </c>
    </row>
    <row r="13" spans="1:9" x14ac:dyDescent="0.25">
      <c r="A13" t="s">
        <v>104</v>
      </c>
    </row>
    <row r="14" spans="1:9" x14ac:dyDescent="0.25">
      <c r="A14" t="s">
        <v>105</v>
      </c>
    </row>
    <row r="15" spans="1:9" x14ac:dyDescent="0.25">
      <c r="A15" t="s">
        <v>106</v>
      </c>
    </row>
  </sheetData>
  <mergeCells count="1">
    <mergeCell ref="A1:E1"/>
  </mergeCells>
  <phoneticPr fontId="4"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F0EF5-0A9B-49D2-B4F6-6D19D5294A06}">
  <sheetPr codeName="Sheet7"/>
  <dimension ref="A1:B6"/>
  <sheetViews>
    <sheetView zoomScale="123" workbookViewId="0">
      <selection activeCell="E19" sqref="E19"/>
    </sheetView>
  </sheetViews>
  <sheetFormatPr defaultRowHeight="15" x14ac:dyDescent="0.25"/>
  <cols>
    <col min="1" max="1" width="16.7109375" customWidth="1"/>
    <col min="2" max="2" width="27.7109375" style="10" customWidth="1"/>
  </cols>
  <sheetData>
    <row r="1" spans="1:2" ht="26.25" x14ac:dyDescent="0.45">
      <c r="A1" s="21" t="s">
        <v>108</v>
      </c>
      <c r="B1" s="21"/>
    </row>
    <row r="3" spans="1:2" x14ac:dyDescent="0.25">
      <c r="A3" t="s">
        <v>109</v>
      </c>
      <c r="B3" s="20" t="s">
        <v>8</v>
      </c>
    </row>
    <row r="4" spans="1:2" x14ac:dyDescent="0.25">
      <c r="A4" t="s">
        <v>110</v>
      </c>
      <c r="B4" s="10">
        <f>SUMIFS(Transactions[Amount],Transactions[Type],"Income")</f>
        <v>50000</v>
      </c>
    </row>
    <row r="5" spans="1:2" x14ac:dyDescent="0.25">
      <c r="A5" t="s">
        <v>111</v>
      </c>
      <c r="B5" s="10">
        <f>SUMIFS(Transactions[Amount],Transactions[Type],"Expense")</f>
        <v>13000</v>
      </c>
    </row>
    <row r="6" spans="1:2" x14ac:dyDescent="0.25">
      <c r="A6" t="s">
        <v>112</v>
      </c>
      <c r="B6" s="10">
        <f>B4-B5</f>
        <v>37000</v>
      </c>
    </row>
  </sheetData>
  <mergeCells count="1">
    <mergeCell ref="A1:B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B273D-2F1D-4F0E-A0BB-DC3B4ACA8FDD}">
  <sheetPr codeName="Sheet8"/>
  <dimension ref="A1:G14"/>
  <sheetViews>
    <sheetView workbookViewId="0">
      <selection activeCell="G15" sqref="G15"/>
    </sheetView>
  </sheetViews>
  <sheetFormatPr defaultRowHeight="15" x14ac:dyDescent="0.25"/>
  <cols>
    <col min="3" max="3" width="13.85546875" customWidth="1"/>
    <col min="4" max="4" width="13.28515625" customWidth="1"/>
    <col min="7" max="7" width="14.7109375" customWidth="1"/>
  </cols>
  <sheetData>
    <row r="1" spans="1:7" x14ac:dyDescent="0.25">
      <c r="A1" s="1" t="s">
        <v>3</v>
      </c>
      <c r="B1" s="1"/>
      <c r="C1" s="1" t="s">
        <v>7</v>
      </c>
      <c r="D1" s="1"/>
      <c r="E1" s="1" t="s">
        <v>11</v>
      </c>
      <c r="F1" s="1"/>
      <c r="G1" s="1" t="s">
        <v>4</v>
      </c>
    </row>
    <row r="2" spans="1:7" x14ac:dyDescent="0.25">
      <c r="A2" t="s">
        <v>14</v>
      </c>
      <c r="C2" t="s">
        <v>69</v>
      </c>
      <c r="E2" t="s">
        <v>21</v>
      </c>
      <c r="G2" t="s">
        <v>17</v>
      </c>
    </row>
    <row r="3" spans="1:7" x14ac:dyDescent="0.25">
      <c r="A3" t="s">
        <v>13</v>
      </c>
      <c r="C3" t="s">
        <v>19</v>
      </c>
      <c r="E3" t="s">
        <v>74</v>
      </c>
      <c r="G3" t="s">
        <v>22</v>
      </c>
    </row>
    <row r="4" spans="1:7" x14ac:dyDescent="0.25">
      <c r="A4" t="s">
        <v>15</v>
      </c>
      <c r="C4" t="s">
        <v>32</v>
      </c>
      <c r="E4" t="s">
        <v>75</v>
      </c>
      <c r="G4" t="s">
        <v>24</v>
      </c>
    </row>
    <row r="5" spans="1:7" x14ac:dyDescent="0.25">
      <c r="A5" t="s">
        <v>16</v>
      </c>
      <c r="C5" t="s">
        <v>70</v>
      </c>
      <c r="E5" t="s">
        <v>76</v>
      </c>
      <c r="G5" t="s">
        <v>25</v>
      </c>
    </row>
    <row r="6" spans="1:7" x14ac:dyDescent="0.25">
      <c r="C6" t="s">
        <v>71</v>
      </c>
      <c r="E6" t="s">
        <v>34</v>
      </c>
      <c r="G6" t="s">
        <v>57</v>
      </c>
    </row>
    <row r="7" spans="1:7" x14ac:dyDescent="0.25">
      <c r="C7" t="s">
        <v>72</v>
      </c>
      <c r="E7" t="s">
        <v>82</v>
      </c>
      <c r="G7" t="s">
        <v>61</v>
      </c>
    </row>
    <row r="8" spans="1:7" x14ac:dyDescent="0.25">
      <c r="C8" t="s">
        <v>73</v>
      </c>
      <c r="G8" t="s">
        <v>68</v>
      </c>
    </row>
    <row r="9" spans="1:7" x14ac:dyDescent="0.25">
      <c r="C9" t="s">
        <v>77</v>
      </c>
      <c r="G9" t="s">
        <v>23</v>
      </c>
    </row>
    <row r="10" spans="1:7" x14ac:dyDescent="0.25">
      <c r="G10" t="s">
        <v>78</v>
      </c>
    </row>
    <row r="11" spans="1:7" x14ac:dyDescent="0.25">
      <c r="G11" t="s">
        <v>79</v>
      </c>
    </row>
    <row r="12" spans="1:7" x14ac:dyDescent="0.25">
      <c r="G12" t="s">
        <v>80</v>
      </c>
    </row>
    <row r="13" spans="1:7" x14ac:dyDescent="0.25">
      <c r="G13" t="s">
        <v>81</v>
      </c>
    </row>
    <row r="14" spans="1:7" x14ac:dyDescent="0.25">
      <c r="G14" t="s">
        <v>128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EA3C-9C9F-4179-B761-7CADCEE337E9}">
  <sheetPr codeName="Sheet10"/>
  <dimension ref="A3:J34"/>
  <sheetViews>
    <sheetView workbookViewId="0">
      <selection activeCell="Y11" sqref="Y11"/>
    </sheetView>
  </sheetViews>
  <sheetFormatPr defaultRowHeight="15" x14ac:dyDescent="0.25"/>
  <cols>
    <col min="1" max="1" width="13.42578125" bestFit="1" customWidth="1"/>
    <col min="2" max="2" width="15.7109375" style="10" bestFit="1" customWidth="1"/>
    <col min="3" max="3" width="17.28515625" customWidth="1"/>
    <col min="4" max="4" width="14.85546875" bestFit="1" customWidth="1"/>
    <col min="5" max="5" width="16.85546875" bestFit="1" customWidth="1"/>
    <col min="6" max="6" width="8.85546875" bestFit="1" customWidth="1"/>
    <col min="7" max="7" width="11.28515625" bestFit="1" customWidth="1"/>
    <col min="9" max="9" width="13.42578125" bestFit="1" customWidth="1"/>
    <col min="10" max="10" width="21.42578125" bestFit="1" customWidth="1"/>
  </cols>
  <sheetData>
    <row r="3" spans="1:10" x14ac:dyDescent="0.25">
      <c r="A3" s="15" t="s">
        <v>122</v>
      </c>
      <c r="B3" s="15" t="s">
        <v>124</v>
      </c>
      <c r="D3" s="15" t="s">
        <v>121</v>
      </c>
      <c r="E3" s="15" t="s">
        <v>124</v>
      </c>
      <c r="I3" s="15" t="s">
        <v>119</v>
      </c>
      <c r="J3" t="s">
        <v>125</v>
      </c>
    </row>
    <row r="4" spans="1:10" x14ac:dyDescent="0.25">
      <c r="A4" s="15" t="s">
        <v>119</v>
      </c>
      <c r="B4" t="s">
        <v>13</v>
      </c>
      <c r="C4" t="s">
        <v>120</v>
      </c>
      <c r="D4" s="15" t="s">
        <v>119</v>
      </c>
      <c r="E4" t="s">
        <v>13</v>
      </c>
      <c r="F4" t="s">
        <v>14</v>
      </c>
      <c r="G4" t="s">
        <v>120</v>
      </c>
      <c r="I4" s="16" t="s">
        <v>25</v>
      </c>
      <c r="J4" s="18">
        <v>0.25</v>
      </c>
    </row>
    <row r="5" spans="1:10" x14ac:dyDescent="0.25">
      <c r="A5" s="16" t="s">
        <v>22</v>
      </c>
      <c r="B5" s="10">
        <v>2000</v>
      </c>
      <c r="C5" s="10">
        <v>2000</v>
      </c>
      <c r="D5" s="16" t="s">
        <v>123</v>
      </c>
      <c r="E5" s="10">
        <v>13000</v>
      </c>
      <c r="F5" s="10">
        <v>50000</v>
      </c>
      <c r="G5" s="10">
        <v>63000</v>
      </c>
      <c r="I5" s="16" t="s">
        <v>17</v>
      </c>
      <c r="J5" s="18">
        <v>0.25</v>
      </c>
    </row>
    <row r="6" spans="1:10" x14ac:dyDescent="0.25">
      <c r="A6" s="16" t="s">
        <v>25</v>
      </c>
      <c r="B6" s="10">
        <v>2500</v>
      </c>
      <c r="C6" s="10">
        <v>2500</v>
      </c>
      <c r="D6" s="16" t="s">
        <v>120</v>
      </c>
      <c r="E6" s="10">
        <v>13000</v>
      </c>
      <c r="F6" s="10">
        <v>50000</v>
      </c>
      <c r="G6" s="10">
        <v>63000</v>
      </c>
      <c r="I6" s="16" t="s">
        <v>24</v>
      </c>
      <c r="J6" s="18">
        <v>0.23333333333333334</v>
      </c>
    </row>
    <row r="7" spans="1:10" x14ac:dyDescent="0.25">
      <c r="A7" s="16" t="s">
        <v>24</v>
      </c>
      <c r="B7" s="10">
        <v>3500</v>
      </c>
      <c r="C7" s="10">
        <v>3500</v>
      </c>
      <c r="I7" s="16" t="s">
        <v>22</v>
      </c>
      <c r="J7" s="18">
        <v>0.2</v>
      </c>
    </row>
    <row r="8" spans="1:10" x14ac:dyDescent="0.25">
      <c r="A8" s="16" t="s">
        <v>17</v>
      </c>
      <c r="B8" s="10">
        <v>5000</v>
      </c>
      <c r="C8" s="10">
        <v>5000</v>
      </c>
      <c r="D8" s="15" t="s">
        <v>119</v>
      </c>
      <c r="E8" t="s">
        <v>126</v>
      </c>
      <c r="I8" s="16" t="s">
        <v>68</v>
      </c>
      <c r="J8" s="18">
        <v>0</v>
      </c>
    </row>
    <row r="9" spans="1:10" x14ac:dyDescent="0.25">
      <c r="A9" s="16" t="s">
        <v>120</v>
      </c>
      <c r="B9" s="10">
        <v>13000</v>
      </c>
      <c r="C9" s="10">
        <v>13000</v>
      </c>
      <c r="D9" s="16" t="s">
        <v>29</v>
      </c>
      <c r="E9" s="8">
        <v>0</v>
      </c>
      <c r="I9" s="16" t="s">
        <v>57</v>
      </c>
      <c r="J9" s="18">
        <v>0</v>
      </c>
    </row>
    <row r="10" spans="1:10" x14ac:dyDescent="0.25">
      <c r="D10" s="16" t="s">
        <v>118</v>
      </c>
      <c r="E10" s="8">
        <v>3500</v>
      </c>
      <c r="I10" s="16" t="s">
        <v>61</v>
      </c>
      <c r="J10" s="18">
        <v>0</v>
      </c>
    </row>
    <row r="11" spans="1:10" x14ac:dyDescent="0.25">
      <c r="D11" s="16" t="s">
        <v>31</v>
      </c>
      <c r="E11" s="8">
        <v>2500</v>
      </c>
      <c r="I11" s="16" t="s">
        <v>120</v>
      </c>
      <c r="J11" s="18">
        <v>0.93333333333333335</v>
      </c>
    </row>
    <row r="12" spans="1:10" x14ac:dyDescent="0.25">
      <c r="A12" s="15" t="s">
        <v>119</v>
      </c>
      <c r="B12" s="10" t="s">
        <v>121</v>
      </c>
      <c r="D12" s="16" t="s">
        <v>18</v>
      </c>
      <c r="E12" s="8">
        <v>5000</v>
      </c>
    </row>
    <row r="13" spans="1:10" x14ac:dyDescent="0.25">
      <c r="A13" s="16" t="s">
        <v>13</v>
      </c>
      <c r="B13" s="10">
        <v>13000</v>
      </c>
      <c r="D13" s="16" t="s">
        <v>89</v>
      </c>
      <c r="E13" s="8">
        <v>2000</v>
      </c>
    </row>
    <row r="14" spans="1:10" x14ac:dyDescent="0.25">
      <c r="A14" s="16" t="s">
        <v>14</v>
      </c>
      <c r="B14" s="10">
        <v>50000</v>
      </c>
      <c r="D14" s="16" t="s">
        <v>120</v>
      </c>
      <c r="E14" s="8">
        <v>13000</v>
      </c>
    </row>
    <row r="15" spans="1:10" x14ac:dyDescent="0.25">
      <c r="A15" s="16" t="s">
        <v>120</v>
      </c>
      <c r="B15" s="10">
        <v>63000</v>
      </c>
    </row>
    <row r="16" spans="1:10" x14ac:dyDescent="0.25">
      <c r="B16"/>
    </row>
    <row r="17" spans="1:7" x14ac:dyDescent="0.25">
      <c r="A17" s="15" t="s">
        <v>119</v>
      </c>
      <c r="B17" s="10" t="s">
        <v>121</v>
      </c>
      <c r="D17" s="15" t="s">
        <v>121</v>
      </c>
      <c r="E17" s="15" t="s">
        <v>124</v>
      </c>
    </row>
    <row r="18" spans="1:7" x14ac:dyDescent="0.25">
      <c r="A18" s="16" t="s">
        <v>29</v>
      </c>
      <c r="B18" s="10">
        <v>50000</v>
      </c>
      <c r="D18" s="15" t="s">
        <v>119</v>
      </c>
      <c r="E18" t="s">
        <v>13</v>
      </c>
      <c r="F18" t="s">
        <v>14</v>
      </c>
      <c r="G18" t="s">
        <v>120</v>
      </c>
    </row>
    <row r="19" spans="1:7" x14ac:dyDescent="0.25">
      <c r="A19" s="16" t="s">
        <v>30</v>
      </c>
      <c r="B19" s="10">
        <v>3500</v>
      </c>
      <c r="D19" s="19">
        <v>46204</v>
      </c>
      <c r="E19" s="10">
        <v>5000</v>
      </c>
      <c r="F19" s="10"/>
      <c r="G19" s="10">
        <v>5000</v>
      </c>
    </row>
    <row r="20" spans="1:7" x14ac:dyDescent="0.25">
      <c r="A20" s="16" t="s">
        <v>31</v>
      </c>
      <c r="B20" s="10">
        <v>2500</v>
      </c>
      <c r="D20" s="19">
        <v>46205</v>
      </c>
      <c r="E20" s="10">
        <v>2000</v>
      </c>
      <c r="F20" s="10"/>
      <c r="G20" s="10">
        <v>2000</v>
      </c>
    </row>
    <row r="21" spans="1:7" x14ac:dyDescent="0.25">
      <c r="A21" s="16" t="s">
        <v>18</v>
      </c>
      <c r="B21" s="10">
        <v>5000</v>
      </c>
      <c r="D21" s="19">
        <v>46206</v>
      </c>
      <c r="E21" s="10"/>
      <c r="F21" s="10">
        <v>50000</v>
      </c>
      <c r="G21" s="10">
        <v>50000</v>
      </c>
    </row>
    <row r="22" spans="1:7" x14ac:dyDescent="0.25">
      <c r="A22" s="16" t="s">
        <v>89</v>
      </c>
      <c r="B22" s="10">
        <v>2000</v>
      </c>
      <c r="D22" s="19">
        <v>46207</v>
      </c>
      <c r="E22" s="10">
        <v>3500</v>
      </c>
      <c r="F22" s="10"/>
      <c r="G22" s="10">
        <v>3500</v>
      </c>
    </row>
    <row r="23" spans="1:7" x14ac:dyDescent="0.25">
      <c r="A23" s="16" t="s">
        <v>120</v>
      </c>
      <c r="B23" s="10">
        <v>63000</v>
      </c>
      <c r="D23" s="19">
        <v>46208</v>
      </c>
      <c r="E23" s="10">
        <v>2500</v>
      </c>
      <c r="F23" s="10"/>
      <c r="G23" s="10">
        <v>2500</v>
      </c>
    </row>
    <row r="24" spans="1:7" x14ac:dyDescent="0.25">
      <c r="B24"/>
      <c r="D24" s="19" t="s">
        <v>120</v>
      </c>
      <c r="E24" s="10">
        <v>13000</v>
      </c>
      <c r="F24" s="10">
        <v>50000</v>
      </c>
      <c r="G24" s="10">
        <v>63000</v>
      </c>
    </row>
    <row r="25" spans="1:7" x14ac:dyDescent="0.25">
      <c r="B25"/>
    </row>
    <row r="26" spans="1:7" x14ac:dyDescent="0.25">
      <c r="B26"/>
    </row>
    <row r="27" spans="1:7" x14ac:dyDescent="0.25">
      <c r="B27"/>
    </row>
    <row r="28" spans="1:7" x14ac:dyDescent="0.25">
      <c r="B28"/>
    </row>
    <row r="29" spans="1:7" x14ac:dyDescent="0.25">
      <c r="B29"/>
    </row>
    <row r="30" spans="1:7" x14ac:dyDescent="0.25">
      <c r="B30"/>
    </row>
    <row r="31" spans="1:7" x14ac:dyDescent="0.25">
      <c r="B31"/>
    </row>
    <row r="32" spans="1:7" x14ac:dyDescent="0.25">
      <c r="B32"/>
    </row>
    <row r="33" spans="2:2" x14ac:dyDescent="0.25">
      <c r="B33"/>
    </row>
    <row r="34" spans="2:2" x14ac:dyDescent="0.25">
      <c r="B3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Transactions</vt:lpstr>
      <vt:lpstr>Categories</vt:lpstr>
      <vt:lpstr>Vendors</vt:lpstr>
      <vt:lpstr>Budget</vt:lpstr>
      <vt:lpstr>Cash_Flow</vt:lpstr>
      <vt:lpstr>P&amp;l</vt:lpstr>
      <vt:lpstr>Settings</vt:lpstr>
      <vt:lpstr>Pivot_data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THAKUR</dc:creator>
  <cp:lastModifiedBy>Shivam THAKUR</cp:lastModifiedBy>
  <dcterms:created xsi:type="dcterms:W3CDTF">2026-07-19T07:30:43Z</dcterms:created>
  <dcterms:modified xsi:type="dcterms:W3CDTF">2026-08-13T17:47:04Z</dcterms:modified>
</cp:coreProperties>
</file>