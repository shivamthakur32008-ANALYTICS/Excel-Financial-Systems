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88ed3192b30c47d9/Documents/"/>
    </mc:Choice>
  </mc:AlternateContent>
  <xr:revisionPtr revIDLastSave="117" documentId="11_4E9B4697DF1AEE5DAE2DACD17DC71CBE0C91FC7F" xr6:coauthVersionLast="47" xr6:coauthVersionMax="47" xr10:uidLastSave="{576B7A2D-6917-4E3F-8530-52D41246E343}"/>
  <bookViews>
    <workbookView xWindow="-120" yWindow="-120" windowWidth="29040" windowHeight="16440" tabRatio="738" firstSheet="1" activeTab="6" xr2:uid="{00000000-000D-0000-FFFF-FFFF00000000}"/>
  </bookViews>
  <sheets>
    <sheet name="01_START_HERE" sheetId="1" r:id="rId1"/>
    <sheet name="02_DASHBOARD" sheetId="2" r:id="rId2"/>
    <sheet name="03_TRANSACTIONS" sheetId="3" r:id="rId3"/>
    <sheet name="04_RECEIVABLES" sheetId="4" r:id="rId4"/>
    <sheet name="05_PAYABLES" sheetId="5" r:id="rId5"/>
    <sheet name="06_RECURRING" sheetId="6" r:id="rId6"/>
    <sheet name="07_FORECAST" sheetId="7" r:id="rId7"/>
    <sheet name="08_ANALYSIS" sheetId="8" r:id="rId8"/>
    <sheet name="09_SETTINGS" sheetId="9"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6" i="8" l="1"/>
  <c r="C15" i="8"/>
  <c r="C12" i="8"/>
  <c r="B14" i="7"/>
  <c r="C7" i="8"/>
  <c r="C14" i="8"/>
  <c r="C13" i="8"/>
  <c r="D13" i="8" s="1"/>
  <c r="C5" i="8"/>
  <c r="C6" i="8" s="1"/>
  <c r="C4" i="8"/>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4" i="5"/>
  <c r="J5" i="4"/>
  <c r="J6" i="4"/>
  <c r="J7" i="4"/>
  <c r="J8" i="4"/>
  <c r="J9" i="4"/>
  <c r="J10" i="4"/>
  <c r="J11" i="4"/>
  <c r="J12" i="4"/>
  <c r="D6" i="7" s="1"/>
  <c r="G6" i="7" s="1"/>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J102" i="4"/>
  <c r="J103" i="4"/>
  <c r="J104" i="4"/>
  <c r="J105" i="4"/>
  <c r="J106" i="4"/>
  <c r="J107" i="4"/>
  <c r="J108" i="4"/>
  <c r="J109" i="4"/>
  <c r="J110" i="4"/>
  <c r="J111" i="4"/>
  <c r="J112" i="4"/>
  <c r="J113" i="4"/>
  <c r="J114" i="4"/>
  <c r="J115" i="4"/>
  <c r="J116" i="4"/>
  <c r="J117" i="4"/>
  <c r="J118" i="4"/>
  <c r="J119" i="4"/>
  <c r="J120" i="4"/>
  <c r="J121" i="4"/>
  <c r="J122" i="4"/>
  <c r="J123" i="4"/>
  <c r="J124" i="4"/>
  <c r="J125" i="4"/>
  <c r="J126" i="4"/>
  <c r="J127" i="4"/>
  <c r="J128" i="4"/>
  <c r="J129" i="4"/>
  <c r="J130" i="4"/>
  <c r="J131" i="4"/>
  <c r="J132" i="4"/>
  <c r="J133" i="4"/>
  <c r="J134" i="4"/>
  <c r="J135" i="4"/>
  <c r="J136" i="4"/>
  <c r="J137" i="4"/>
  <c r="J138" i="4"/>
  <c r="J139" i="4"/>
  <c r="J140" i="4"/>
  <c r="J141" i="4"/>
  <c r="J142" i="4"/>
  <c r="J143" i="4"/>
  <c r="J144" i="4"/>
  <c r="J145" i="4"/>
  <c r="J146" i="4"/>
  <c r="J147" i="4"/>
  <c r="J148" i="4"/>
  <c r="J149" i="4"/>
  <c r="J150" i="4"/>
  <c r="J151" i="4"/>
  <c r="J152" i="4"/>
  <c r="J153" i="4"/>
  <c r="J154" i="4"/>
  <c r="J155" i="4"/>
  <c r="J156" i="4"/>
  <c r="J157" i="4"/>
  <c r="J158" i="4"/>
  <c r="J159" i="4"/>
  <c r="J160" i="4"/>
  <c r="J161" i="4"/>
  <c r="J162" i="4"/>
  <c r="J163" i="4"/>
  <c r="J164" i="4"/>
  <c r="J165" i="4"/>
  <c r="J166" i="4"/>
  <c r="J167" i="4"/>
  <c r="J168" i="4"/>
  <c r="J169" i="4"/>
  <c r="J170" i="4"/>
  <c r="J171" i="4"/>
  <c r="J172" i="4"/>
  <c r="J173" i="4"/>
  <c r="J174" i="4"/>
  <c r="J175" i="4"/>
  <c r="J176" i="4"/>
  <c r="J177" i="4"/>
  <c r="J178" i="4"/>
  <c r="J179" i="4"/>
  <c r="J180" i="4"/>
  <c r="J181" i="4"/>
  <c r="J182" i="4"/>
  <c r="J183" i="4"/>
  <c r="J184" i="4"/>
  <c r="J185" i="4"/>
  <c r="J186" i="4"/>
  <c r="J187" i="4"/>
  <c r="J188" i="4"/>
  <c r="J189" i="4"/>
  <c r="J190" i="4"/>
  <c r="J191" i="4"/>
  <c r="J192" i="4"/>
  <c r="J193" i="4"/>
  <c r="J194" i="4"/>
  <c r="J195" i="4"/>
  <c r="J196" i="4"/>
  <c r="J197" i="4"/>
  <c r="J198" i="4"/>
  <c r="J199" i="4"/>
  <c r="J200" i="4"/>
  <c r="J201" i="4"/>
  <c r="J202" i="4"/>
  <c r="J203" i="4"/>
  <c r="J4" i="4"/>
  <c r="I5" i="4"/>
  <c r="I6" i="4"/>
  <c r="I7" i="4"/>
  <c r="I8" i="4"/>
  <c r="I9" i="4"/>
  <c r="I10" i="4"/>
  <c r="D47" i="2" s="1"/>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I102" i="4"/>
  <c r="I103" i="4"/>
  <c r="I104" i="4"/>
  <c r="I105" i="4"/>
  <c r="I106" i="4"/>
  <c r="I107" i="4"/>
  <c r="I108" i="4"/>
  <c r="I109" i="4"/>
  <c r="I110" i="4"/>
  <c r="I111" i="4"/>
  <c r="I112" i="4"/>
  <c r="I113" i="4"/>
  <c r="I114" i="4"/>
  <c r="I115" i="4"/>
  <c r="I116" i="4"/>
  <c r="I117" i="4"/>
  <c r="I118" i="4"/>
  <c r="I119" i="4"/>
  <c r="I120" i="4"/>
  <c r="I121" i="4"/>
  <c r="I122" i="4"/>
  <c r="I123" i="4"/>
  <c r="I124" i="4"/>
  <c r="I125" i="4"/>
  <c r="I126" i="4"/>
  <c r="I127" i="4"/>
  <c r="I128" i="4"/>
  <c r="I129" i="4"/>
  <c r="I130" i="4"/>
  <c r="I131" i="4"/>
  <c r="I132" i="4"/>
  <c r="I133" i="4"/>
  <c r="I134" i="4"/>
  <c r="I135" i="4"/>
  <c r="I136" i="4"/>
  <c r="I137" i="4"/>
  <c r="I138" i="4"/>
  <c r="I139" i="4"/>
  <c r="I140" i="4"/>
  <c r="I141" i="4"/>
  <c r="I142" i="4"/>
  <c r="I143" i="4"/>
  <c r="I144" i="4"/>
  <c r="I145" i="4"/>
  <c r="I146" i="4"/>
  <c r="I147" i="4"/>
  <c r="I148" i="4"/>
  <c r="I149" i="4"/>
  <c r="I150" i="4"/>
  <c r="I151" i="4"/>
  <c r="I152" i="4"/>
  <c r="I153" i="4"/>
  <c r="I154" i="4"/>
  <c r="I155" i="4"/>
  <c r="I156" i="4"/>
  <c r="I157" i="4"/>
  <c r="I158" i="4"/>
  <c r="I159" i="4"/>
  <c r="I160" i="4"/>
  <c r="I161" i="4"/>
  <c r="I162" i="4"/>
  <c r="I163" i="4"/>
  <c r="I164" i="4"/>
  <c r="I165" i="4"/>
  <c r="I166" i="4"/>
  <c r="I167" i="4"/>
  <c r="I168" i="4"/>
  <c r="I169" i="4"/>
  <c r="I170" i="4"/>
  <c r="I171" i="4"/>
  <c r="I172" i="4"/>
  <c r="I173" i="4"/>
  <c r="I174" i="4"/>
  <c r="I175" i="4"/>
  <c r="I176" i="4"/>
  <c r="I177" i="4"/>
  <c r="I178" i="4"/>
  <c r="I179" i="4"/>
  <c r="I180" i="4"/>
  <c r="I181" i="4"/>
  <c r="I182" i="4"/>
  <c r="I183" i="4"/>
  <c r="I184" i="4"/>
  <c r="I185" i="4"/>
  <c r="I186" i="4"/>
  <c r="I187" i="4"/>
  <c r="I188" i="4"/>
  <c r="I189" i="4"/>
  <c r="I190" i="4"/>
  <c r="I191" i="4"/>
  <c r="I192" i="4"/>
  <c r="I193" i="4"/>
  <c r="I194" i="4"/>
  <c r="I195" i="4"/>
  <c r="I196" i="4"/>
  <c r="I197" i="4"/>
  <c r="I198" i="4"/>
  <c r="I199" i="4"/>
  <c r="I200" i="4"/>
  <c r="I201" i="4"/>
  <c r="I202" i="4"/>
  <c r="I203" i="4"/>
  <c r="I4" i="4"/>
  <c r="C13" i="2" s="1"/>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4" i="4"/>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4" i="3"/>
  <c r="B16" i="8"/>
  <c r="B15" i="8"/>
  <c r="B14" i="8"/>
  <c r="B13" i="8"/>
  <c r="B12" i="8"/>
  <c r="B5" i="8"/>
  <c r="B4" i="8"/>
  <c r="B11" i="7"/>
  <c r="F7" i="7"/>
  <c r="E7" i="7"/>
  <c r="C7" i="7"/>
  <c r="E6" i="7"/>
  <c r="C6" i="7"/>
  <c r="F5" i="7"/>
  <c r="E5" i="7"/>
  <c r="C5" i="7"/>
  <c r="B5" i="7"/>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6" i="7" s="1"/>
  <c r="G203" i="4"/>
  <c r="G202" i="4"/>
  <c r="G201" i="4"/>
  <c r="G200" i="4"/>
  <c r="G199" i="4"/>
  <c r="G198" i="4"/>
  <c r="G197" i="4"/>
  <c r="G196" i="4"/>
  <c r="G195" i="4"/>
  <c r="G194" i="4"/>
  <c r="G193" i="4"/>
  <c r="G192" i="4"/>
  <c r="G191" i="4"/>
  <c r="G190" i="4"/>
  <c r="G189" i="4"/>
  <c r="G188" i="4"/>
  <c r="G187" i="4"/>
  <c r="G186" i="4"/>
  <c r="G185" i="4"/>
  <c r="G184" i="4"/>
  <c r="G183" i="4"/>
  <c r="G182" i="4"/>
  <c r="G181" i="4"/>
  <c r="G180" i="4"/>
  <c r="G179" i="4"/>
  <c r="G178" i="4"/>
  <c r="G177" i="4"/>
  <c r="G176" i="4"/>
  <c r="G175" i="4"/>
  <c r="G174" i="4"/>
  <c r="G173" i="4"/>
  <c r="G172" i="4"/>
  <c r="G171" i="4"/>
  <c r="G170" i="4"/>
  <c r="G169" i="4"/>
  <c r="G168" i="4"/>
  <c r="G167" i="4"/>
  <c r="G166" i="4"/>
  <c r="G165" i="4"/>
  <c r="G164" i="4"/>
  <c r="G163" i="4"/>
  <c r="G162" i="4"/>
  <c r="G161" i="4"/>
  <c r="G160" i="4"/>
  <c r="G159" i="4"/>
  <c r="G158" i="4"/>
  <c r="G157" i="4"/>
  <c r="G156" i="4"/>
  <c r="G155" i="4"/>
  <c r="G154" i="4"/>
  <c r="G153" i="4"/>
  <c r="G152" i="4"/>
  <c r="G151" i="4"/>
  <c r="G150" i="4"/>
  <c r="G149" i="4"/>
  <c r="G148" i="4"/>
  <c r="G147" i="4"/>
  <c r="G146" i="4"/>
  <c r="G145" i="4"/>
  <c r="G144" i="4"/>
  <c r="G143" i="4"/>
  <c r="G142" i="4"/>
  <c r="G141" i="4"/>
  <c r="G140" i="4"/>
  <c r="G139" i="4"/>
  <c r="G138" i="4"/>
  <c r="G137" i="4"/>
  <c r="G136" i="4"/>
  <c r="G135" i="4"/>
  <c r="G134" i="4"/>
  <c r="G133" i="4"/>
  <c r="G132" i="4"/>
  <c r="G131" i="4"/>
  <c r="G130" i="4"/>
  <c r="G129" i="4"/>
  <c r="G128" i="4"/>
  <c r="G127" i="4"/>
  <c r="G126" i="4"/>
  <c r="G125" i="4"/>
  <c r="G124" i="4"/>
  <c r="G123" i="4"/>
  <c r="G122" i="4"/>
  <c r="G121" i="4"/>
  <c r="G120" i="4"/>
  <c r="G119" i="4"/>
  <c r="G118" i="4"/>
  <c r="G117" i="4"/>
  <c r="G116" i="4"/>
  <c r="G115" i="4"/>
  <c r="G114" i="4"/>
  <c r="G113" i="4"/>
  <c r="G112" i="4"/>
  <c r="G111" i="4"/>
  <c r="G110" i="4"/>
  <c r="G109" i="4"/>
  <c r="G108" i="4"/>
  <c r="G107" i="4"/>
  <c r="G106" i="4"/>
  <c r="G105" i="4"/>
  <c r="G104" i="4"/>
  <c r="G103" i="4"/>
  <c r="G102" i="4"/>
  <c r="G101" i="4"/>
  <c r="G100" i="4"/>
  <c r="G99" i="4"/>
  <c r="G98" i="4"/>
  <c r="G97" i="4"/>
  <c r="G96" i="4"/>
  <c r="G95" i="4"/>
  <c r="G94" i="4"/>
  <c r="G93" i="4"/>
  <c r="G92" i="4"/>
  <c r="G91" i="4"/>
  <c r="G90" i="4"/>
  <c r="G89" i="4"/>
  <c r="G88" i="4"/>
  <c r="G87" i="4"/>
  <c r="G86" i="4"/>
  <c r="G85" i="4"/>
  <c r="G84" i="4"/>
  <c r="G83" i="4"/>
  <c r="G82" i="4"/>
  <c r="G81" i="4"/>
  <c r="G80" i="4"/>
  <c r="G79" i="4"/>
  <c r="G78" i="4"/>
  <c r="G77" i="4"/>
  <c r="G76" i="4"/>
  <c r="G75" i="4"/>
  <c r="G74" i="4"/>
  <c r="G73" i="4"/>
  <c r="G72" i="4"/>
  <c r="G71" i="4"/>
  <c r="G70" i="4"/>
  <c r="G69" i="4"/>
  <c r="G68" i="4"/>
  <c r="G67" i="4"/>
  <c r="G66" i="4"/>
  <c r="G65" i="4"/>
  <c r="G64" i="4"/>
  <c r="G63" i="4"/>
  <c r="G62" i="4"/>
  <c r="G61" i="4"/>
  <c r="G60" i="4"/>
  <c r="G59" i="4"/>
  <c r="G58" i="4"/>
  <c r="G57" i="4"/>
  <c r="G56" i="4"/>
  <c r="G55" i="4"/>
  <c r="G54" i="4"/>
  <c r="G53" i="4"/>
  <c r="G52" i="4"/>
  <c r="G51" i="4"/>
  <c r="G50" i="4"/>
  <c r="G49" i="4"/>
  <c r="G48" i="4"/>
  <c r="G47" i="4"/>
  <c r="G46" i="4"/>
  <c r="G45" i="4"/>
  <c r="G44" i="4"/>
  <c r="G43" i="4"/>
  <c r="G42" i="4"/>
  <c r="G41" i="4"/>
  <c r="G40" i="4"/>
  <c r="G39" i="4"/>
  <c r="G38" i="4"/>
  <c r="G37" i="4"/>
  <c r="G36" i="4"/>
  <c r="G35" i="4"/>
  <c r="G34" i="4"/>
  <c r="G33" i="4"/>
  <c r="G32" i="4"/>
  <c r="G31" i="4"/>
  <c r="G30" i="4"/>
  <c r="G29" i="4"/>
  <c r="G28" i="4"/>
  <c r="G27" i="4"/>
  <c r="G26" i="4"/>
  <c r="G25" i="4"/>
  <c r="G24" i="4"/>
  <c r="G23" i="4"/>
  <c r="G22" i="4"/>
  <c r="G21" i="4"/>
  <c r="G20" i="4"/>
  <c r="G19" i="4"/>
  <c r="G18" i="4"/>
  <c r="G17" i="4"/>
  <c r="G16" i="4"/>
  <c r="G15" i="4"/>
  <c r="G14" i="4"/>
  <c r="G13" i="4"/>
  <c r="G12" i="4"/>
  <c r="G11" i="4"/>
  <c r="G10" i="4"/>
  <c r="G9" i="4"/>
  <c r="G8" i="4"/>
  <c r="G7" i="4"/>
  <c r="G6" i="4"/>
  <c r="G5" i="4"/>
  <c r="B7" i="8" s="1"/>
  <c r="D7" i="7"/>
  <c r="G4" i="4"/>
  <c r="C11" i="2"/>
  <c r="C6" i="2"/>
  <c r="O1" i="2"/>
  <c r="L1" i="2"/>
  <c r="O11" i="2" l="1"/>
  <c r="O13" i="2" s="1"/>
  <c r="D7" i="8"/>
  <c r="G7" i="7"/>
  <c r="K11" i="2"/>
  <c r="K13" i="2" s="1"/>
  <c r="D4" i="8"/>
  <c r="G8" i="2" s="1"/>
  <c r="D16" i="8"/>
  <c r="D12" i="8"/>
  <c r="D5" i="8"/>
  <c r="D5" i="7"/>
  <c r="G5" i="7" s="1"/>
  <c r="H5" i="7" s="1"/>
  <c r="G11" i="2"/>
  <c r="D14" i="8"/>
  <c r="B6" i="8"/>
  <c r="G6" i="2"/>
  <c r="D15" i="8"/>
  <c r="K6" i="2"/>
  <c r="G13" i="2"/>
  <c r="K8" i="2" l="1"/>
  <c r="D50" i="2"/>
  <c r="B6" i="7"/>
  <c r="H6" i="7" s="1"/>
  <c r="B7" i="7" s="1"/>
  <c r="H7" i="7" s="1"/>
  <c r="D6" i="8"/>
  <c r="C8" i="2" s="1"/>
  <c r="O6" i="2"/>
  <c r="O8" i="2"/>
  <c r="B12" i="7" l="1"/>
  <c r="B13" i="7" l="1"/>
  <c r="D49" i="2"/>
</calcChain>
</file>

<file path=xl/sharedStrings.xml><?xml version="1.0" encoding="utf-8"?>
<sst xmlns="http://schemas.openxmlformats.org/spreadsheetml/2006/main" count="705" uniqueCount="256">
  <si>
    <t>BUSINESS CASH FLOW CONTROL SYSTEM</t>
  </si>
  <si>
    <t>Track → Forecast → Control → Grow</t>
  </si>
  <si>
    <t>WELCOME</t>
  </si>
  <si>
    <t>This system gives small-business owners a reliable view of current cash, receivables, payables, risks and the next 90 days. Use the highlighted input cells only; every dashboard figure flows from the underlying data.</t>
  </si>
  <si>
    <t>GET STARTED</t>
  </si>
  <si>
    <t>BUSINESS SETUP</t>
  </si>
  <si>
    <t>1</t>
  </si>
  <si>
    <t>Enter business details below</t>
  </si>
  <si>
    <t>Business Name</t>
  </si>
  <si>
    <t>ABC Digital Agency</t>
  </si>
  <si>
    <t>2</t>
  </si>
  <si>
    <t>Set opening cash balance and safety threshold</t>
  </si>
  <si>
    <t>Financial Year</t>
  </si>
  <si>
    <t>2026–27</t>
  </si>
  <si>
    <t>3</t>
  </si>
  <si>
    <t>Review accounts and categories in SETTINGS</t>
  </si>
  <si>
    <t>Currency</t>
  </si>
  <si>
    <t>₹</t>
  </si>
  <si>
    <t>4</t>
  </si>
  <si>
    <t>Add actual cash movements in TRANSACTIONS</t>
  </si>
  <si>
    <t>Opening Cash Balance</t>
  </si>
  <si>
    <t>5</t>
  </si>
  <si>
    <t>Add invoices due in RECEIVABLES and PAYABLES</t>
  </si>
  <si>
    <t>Forecast Period</t>
  </si>
  <si>
    <t>90 Days</t>
  </si>
  <si>
    <t>6</t>
  </si>
  <si>
    <t>Maintain recurring contracts and subscriptions</t>
  </si>
  <si>
    <t>7</t>
  </si>
  <si>
    <t>Review Dashboard and Forecast weekly</t>
  </si>
  <si>
    <t>HOW TO USE THIS WORKBOOK</t>
  </si>
  <si>
    <t>Profit is not cash. Record money actually received or paid in TRANSACTIONS. Record expected invoices and bills separately. The Forecast combines recurring commitments, expected customer receipts and supplier payments so that you can act before cash gets tight.</t>
  </si>
  <si>
    <t>BUSINESS CASH FLOW</t>
  </si>
  <si>
    <t>Month</t>
  </si>
  <si>
    <t>Inflow</t>
  </si>
  <si>
    <t>Outflow</t>
  </si>
  <si>
    <t>Closing Cash</t>
  </si>
  <si>
    <t>Cash Flow Control Center</t>
  </si>
  <si>
    <t>Aug</t>
  </si>
  <si>
    <t>Sep</t>
  </si>
  <si>
    <t>Oct</t>
  </si>
  <si>
    <t>NAVIGATION</t>
  </si>
  <si>
    <t>CURRENT CASH</t>
  </si>
  <si>
    <t>TOTAL INFLOW</t>
  </si>
  <si>
    <t>TOTAL OUTFLOW</t>
  </si>
  <si>
    <t>NET CASH FLOW</t>
  </si>
  <si>
    <t>Expense Category</t>
  </si>
  <si>
    <t>Amount</t>
  </si>
  <si>
    <t>HOME</t>
  </si>
  <si>
    <t>Salary</t>
  </si>
  <si>
    <t>Rent</t>
  </si>
  <si>
    <t>Marketing</t>
  </si>
  <si>
    <t>DASHBOARD</t>
  </si>
  <si>
    <t>RECEIVABLES</t>
  </si>
  <si>
    <t>PAYABLES</t>
  </si>
  <si>
    <t>OVERDUE AMOUNT</t>
  </si>
  <si>
    <t>CASH RUNWAY</t>
  </si>
  <si>
    <t>Software</t>
  </si>
  <si>
    <t>Ageing Band</t>
  </si>
  <si>
    <t>Outstanding</t>
  </si>
  <si>
    <t>TRANSACTIONS</t>
  </si>
  <si>
    <t>Current / Due Soon</t>
  </si>
  <si>
    <t>1–30 Days</t>
  </si>
  <si>
    <t>90-DAY CASH POSITION</t>
  </si>
  <si>
    <t>EXPENSE DRIVERS — CURRENT MONTH</t>
  </si>
  <si>
    <t>31–60 Days</t>
  </si>
  <si>
    <t>Year</t>
  </si>
  <si>
    <t>Cash Inflow</t>
  </si>
  <si>
    <t>Cash Outflow</t>
  </si>
  <si>
    <t>Net Cash Flow</t>
  </si>
  <si>
    <t>2025</t>
  </si>
  <si>
    <t>2026 YTD</t>
  </si>
  <si>
    <t>RECURRING</t>
  </si>
  <si>
    <t>FORECAST</t>
  </si>
  <si>
    <t>ANALYSIS</t>
  </si>
  <si>
    <t>RECEIVABLES AGEING</t>
  </si>
  <si>
    <t>MULTI-YEAR CASH FLOW TREND</t>
  </si>
  <si>
    <t>Inputs are highlighted on data sheets. Review this dashboard weekly.</t>
  </si>
  <si>
    <t>MANAGEMENT ACTIONS</t>
  </si>
  <si>
    <t>Protect high-priority payments: rent, salaries, taxes and essential suppliers.</t>
  </si>
  <si>
    <t>TRANSACTIONS — ACTUAL CASH MOVEMENT</t>
  </si>
  <si>
    <t>Transaction ID</t>
  </si>
  <si>
    <t>Date</t>
  </si>
  <si>
    <t>Type</t>
  </si>
  <si>
    <t>Category</t>
  </si>
  <si>
    <t>Subcategory</t>
  </si>
  <si>
    <t>Description</t>
  </si>
  <si>
    <t>Account</t>
  </si>
  <si>
    <t>Customer / Vendor</t>
  </si>
  <si>
    <t>Status</t>
  </si>
  <si>
    <t>Payment Method</t>
  </si>
  <si>
    <t>Notes</t>
  </si>
  <si>
    <t>TXN-001</t>
  </si>
  <si>
    <t>Services</t>
  </si>
  <si>
    <t>Retainer</t>
  </si>
  <si>
    <t>Acme Consulting — Aug</t>
  </si>
  <si>
    <t>Main Bank</t>
  </si>
  <si>
    <t>Acme Consulting</t>
  </si>
  <si>
    <t>Received</t>
  </si>
  <si>
    <t>Bank Transfer</t>
  </si>
  <si>
    <t>Monthly retainer</t>
  </si>
  <si>
    <t>TXN-002</t>
  </si>
  <si>
    <t>Team</t>
  </si>
  <si>
    <t>Payroll</t>
  </si>
  <si>
    <t>Paid</t>
  </si>
  <si>
    <t>August payroll</t>
  </si>
  <si>
    <t>TXN-003</t>
  </si>
  <si>
    <t>Design</t>
  </si>
  <si>
    <t>Canva + tools</t>
  </si>
  <si>
    <t>Canva</t>
  </si>
  <si>
    <t>Card</t>
  </si>
  <si>
    <t>TXN-004</t>
  </si>
  <si>
    <t>Sales</t>
  </si>
  <si>
    <t>Project</t>
  </si>
  <si>
    <t>Website project milestone</t>
  </si>
  <si>
    <t>UPI</t>
  </si>
  <si>
    <t>Bright Labs</t>
  </si>
  <si>
    <t>TXN-005</t>
  </si>
  <si>
    <t>Ads</t>
  </si>
  <si>
    <t>Meta campaigns</t>
  </si>
  <si>
    <t>Meta</t>
  </si>
  <si>
    <t>TXN-006</t>
  </si>
  <si>
    <t>Office</t>
  </si>
  <si>
    <t>Studio rent</t>
  </si>
  <si>
    <t>Office Owner</t>
  </si>
  <si>
    <t>TXN-007</t>
  </si>
  <si>
    <t>Consulting</t>
  </si>
  <si>
    <t>Strategy workshop</t>
  </si>
  <si>
    <t>Nexa Foods</t>
  </si>
  <si>
    <t>TXN-008</t>
  </si>
  <si>
    <t>Utilities</t>
  </si>
  <si>
    <t>Internet</t>
  </si>
  <si>
    <t>Internet &amp; mobile</t>
  </si>
  <si>
    <t>Airtel</t>
  </si>
  <si>
    <t>TXN-009</t>
  </si>
  <si>
    <t>Acme Consulting — Jul</t>
  </si>
  <si>
    <t>TXN-010</t>
  </si>
  <si>
    <t>TXN-011</t>
  </si>
  <si>
    <t>TXN-012</t>
  </si>
  <si>
    <t>TXN-013</t>
  </si>
  <si>
    <t>Acme Consulting — Jan</t>
  </si>
  <si>
    <t>Historical demo</t>
  </si>
  <si>
    <t>TXN-014</t>
  </si>
  <si>
    <t>TXN-015</t>
  </si>
  <si>
    <t>TXN-016</t>
  </si>
  <si>
    <t>Brand project milestone</t>
  </si>
  <si>
    <t>Pixel Works</t>
  </si>
  <si>
    <t>TXN-017</t>
  </si>
  <si>
    <t>Campaign spend</t>
  </si>
  <si>
    <t>TXN-018</t>
  </si>
  <si>
    <t>Growth workshop</t>
  </si>
  <si>
    <t>TXN-019</t>
  </si>
  <si>
    <t>Tools</t>
  </si>
  <si>
    <t>Software subscriptions</t>
  </si>
  <si>
    <t>SaaS vendors</t>
  </si>
  <si>
    <t>TXN-020</t>
  </si>
  <si>
    <t>TXN-021</t>
  </si>
  <si>
    <t>TXN-022</t>
  </si>
  <si>
    <t>TXN-023</t>
  </si>
  <si>
    <t>TXN-024</t>
  </si>
  <si>
    <t>TXN-025</t>
  </si>
  <si>
    <t>TXN-026</t>
  </si>
  <si>
    <t>TXN-027</t>
  </si>
  <si>
    <t>TXN-028</t>
  </si>
  <si>
    <t>Strategy engagement</t>
  </si>
  <si>
    <t>Orbit Retail</t>
  </si>
  <si>
    <t>TXN-029</t>
  </si>
  <si>
    <t>TXN-030</t>
  </si>
  <si>
    <t>Design project milestone</t>
  </si>
  <si>
    <t>TXN-031</t>
  </si>
  <si>
    <t>TXN-032</t>
  </si>
  <si>
    <t>Travel</t>
  </si>
  <si>
    <t>Client</t>
  </si>
  <si>
    <t>Client workshop travel</t>
  </si>
  <si>
    <t>Travel Desk</t>
  </si>
  <si>
    <t>RECEIVABLES — WHO OWES YOU MONEY</t>
  </si>
  <si>
    <t>Invoice ID</t>
  </si>
  <si>
    <t>Customer</t>
  </si>
  <si>
    <t>Invoice Date</t>
  </si>
  <si>
    <t>Due Date</t>
  </si>
  <si>
    <t>Amount Received</t>
  </si>
  <si>
    <t>Days Overdue</t>
  </si>
  <si>
    <t>Expected Receipt</t>
  </si>
  <si>
    <t>INV-001</t>
  </si>
  <si>
    <t>INV-002</t>
  </si>
  <si>
    <t>INV-003</t>
  </si>
  <si>
    <t>INV-004</t>
  </si>
  <si>
    <t>INV-005</t>
  </si>
  <si>
    <t>PAYABLES — WHAT YOU NEED TO PAY</t>
  </si>
  <si>
    <t>Vendor</t>
  </si>
  <si>
    <t>Bill Date</t>
  </si>
  <si>
    <t>Priority</t>
  </si>
  <si>
    <t>High</t>
  </si>
  <si>
    <t>Freelancer Team</t>
  </si>
  <si>
    <t>Medium</t>
  </si>
  <si>
    <t>GST Provision</t>
  </si>
  <si>
    <t>Taxes</t>
  </si>
  <si>
    <t>Meta Ads</t>
  </si>
  <si>
    <t>RECURRING — CONTRACTED &amp; REPEAT CASH FLOWS</t>
  </si>
  <si>
    <t>Item</t>
  </si>
  <si>
    <t>Frequency</t>
  </si>
  <si>
    <t>Start Date</t>
  </si>
  <si>
    <t>Next Date</t>
  </si>
  <si>
    <t>Active</t>
  </si>
  <si>
    <t>Confidence</t>
  </si>
  <si>
    <t>Office rent</t>
  </si>
  <si>
    <t>Monthly</t>
  </si>
  <si>
    <t>Yes</t>
  </si>
  <si>
    <t>Acme retainer</t>
  </si>
  <si>
    <t>Meta ads baseline</t>
  </si>
  <si>
    <t>Nexa support</t>
  </si>
  <si>
    <t>90-DAY CASH FORECAST</t>
  </si>
  <si>
    <t>High confidence = recurring/contracted; Medium confidence = expected customer payment. Forecast is a cash-management estimate, not a guarantee.</t>
  </si>
  <si>
    <t>Opening Cash</t>
  </si>
  <si>
    <t>Recurring Inflows</t>
  </si>
  <si>
    <t>Expected Receivables</t>
  </si>
  <si>
    <t>Recurring Outflows</t>
  </si>
  <si>
    <t>Expected Payables</t>
  </si>
  <si>
    <t>Projected Closing Cash</t>
  </si>
  <si>
    <t>CASH SAFETY CHECK</t>
  </si>
  <si>
    <t>Minimum Cash Threshold</t>
  </si>
  <si>
    <t>Lowest Projected Cash</t>
  </si>
  <si>
    <t>Cash Pressure</t>
  </si>
  <si>
    <t>Cash Runway (months)</t>
  </si>
  <si>
    <t>ANALYSIS — WHAT IS CHANGING</t>
  </si>
  <si>
    <t>Metric</t>
  </si>
  <si>
    <t>Current Month</t>
  </si>
  <si>
    <t>Previous Month</t>
  </si>
  <si>
    <t>Change</t>
  </si>
  <si>
    <t>Receivables</t>
  </si>
  <si>
    <t>EXPENSE TREND</t>
  </si>
  <si>
    <t>SETTINGS &amp; CONTROL LISTS</t>
  </si>
  <si>
    <t>Income Categories</t>
  </si>
  <si>
    <t>Expense Categories</t>
  </si>
  <si>
    <t>Accounts</t>
  </si>
  <si>
    <t>Payment Methods</t>
  </si>
  <si>
    <t>Thresholds</t>
  </si>
  <si>
    <t>Lists</t>
  </si>
  <si>
    <t>Weekly</t>
  </si>
  <si>
    <t>Savings</t>
  </si>
  <si>
    <t>Receivable Warning Days</t>
  </si>
  <si>
    <t>Interest</t>
  </si>
  <si>
    <t>Cash</t>
  </si>
  <si>
    <t>Expense Growth Alert %</t>
  </si>
  <si>
    <t>Low</t>
  </si>
  <si>
    <t>Quarterly</t>
  </si>
  <si>
    <t>Other Income</t>
  </si>
  <si>
    <t>Forecast Period (days)</t>
  </si>
  <si>
    <t>Yearly</t>
  </si>
  <si>
    <t>Credit Card</t>
  </si>
  <si>
    <t>Cheque</t>
  </si>
  <si>
    <t>Report Date</t>
  </si>
  <si>
    <t>Pending</t>
  </si>
  <si>
    <t>Other</t>
  </si>
  <si>
    <t>Supplies</t>
  </si>
  <si>
    <t>Loan</t>
  </si>
  <si>
    <t>Bank Charges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</si>
</sst>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Red]\(\₹#,##0\);\-"/>
    <numFmt numFmtId="165" formatCode="dd\-mmm\-yyyy"/>
    <numFmt numFmtId="166" formatCode="mmm\ yyyy"/>
    <numFmt numFmtId="167" formatCode="0.0"/>
    <numFmt numFmtId="168" formatCode="0.0%"/>
    <numFmt numFmtId="169" formatCode="0.0\ &quot;months&quot;"/>
  </numFmts>
  <fonts count="21">
    <font>
      <sz val="11"/>
      <name val="Carlito"/>
    </font>
    <font>
      <b/>
      <sz val="18"/>
      <color rgb="FFFFFFFF"/>
      <name val="Carlito"/>
    </font>
    <font>
      <b/>
      <sz val="11"/>
      <color rgb="FFFFFFFF"/>
      <name val="Carlito"/>
    </font>
    <font>
      <i/>
      <sz val="12"/>
      <color rgb="FF007C83"/>
      <name val="Carlito"/>
    </font>
    <font>
      <b/>
      <sz val="11"/>
      <color rgb="FF007C83"/>
      <name val="Carlito"/>
    </font>
    <font>
      <b/>
      <sz val="11"/>
      <name val="Carlito"/>
    </font>
    <font>
      <i/>
      <sz val="11"/>
      <color rgb="FF1F2937"/>
      <name val="Carlito"/>
    </font>
    <font>
      <sz val="10"/>
      <color rgb="FF252423"/>
      <name val="Aptos"/>
    </font>
    <font>
      <b/>
      <sz val="20"/>
      <color rgb="FFFFFFFF"/>
      <name val="Aptos Display"/>
    </font>
    <font>
      <i/>
      <sz val="10"/>
      <color rgb="FFD6D6D6"/>
      <name val="Aptos"/>
    </font>
    <font>
      <sz val="9"/>
      <color rgb="FFD6D6D6"/>
      <name val="Aptos"/>
    </font>
    <font>
      <b/>
      <sz val="10"/>
      <color rgb="FFFFFFFF"/>
      <name val="Aptos"/>
    </font>
    <font>
      <sz val="10"/>
      <color rgb="FFD6D6D6"/>
      <name val="Aptos"/>
    </font>
    <font>
      <b/>
      <sz val="8"/>
      <color rgb="FF8F8F8F"/>
      <name val="Aptos"/>
    </font>
    <font>
      <sz val="10"/>
      <color rgb="FFFFFFFF"/>
      <name val="Aptos"/>
    </font>
    <font>
      <b/>
      <sz val="18"/>
      <color rgb="FF252423"/>
      <name val="Aptos"/>
    </font>
    <font>
      <sz val="8"/>
      <color rgb="FF605E5C"/>
      <name val="Aptos"/>
    </font>
    <font>
      <b/>
      <sz val="8"/>
      <color rgb="FFFFFFFF"/>
      <name val="Aptos"/>
    </font>
    <font>
      <b/>
      <sz val="11"/>
      <color rgb="FF252423"/>
      <name val="Aptos"/>
    </font>
    <font>
      <sz val="1"/>
      <color rgb="FFFFFFFF"/>
      <name val="Carlito"/>
    </font>
    <font>
      <sz val="10"/>
      <name val="Arial Unicode MS"/>
    </font>
  </fonts>
  <fills count="17">
    <fill>
      <patternFill patternType="none"/>
    </fill>
    <fill>
      <patternFill patternType="gray125"/>
    </fill>
    <fill>
      <patternFill patternType="solid">
        <fgColor rgb="FF16324F"/>
      </patternFill>
    </fill>
    <fill>
      <patternFill patternType="solid">
        <fgColor rgb="FFFFF5D6"/>
      </patternFill>
    </fill>
    <fill>
      <patternFill patternType="solid">
        <fgColor rgb="FF007C83"/>
      </patternFill>
    </fill>
    <fill>
      <patternFill patternType="solid">
        <fgColor rgb="FFF5F8FA"/>
      </patternFill>
    </fill>
    <fill>
      <patternFill patternType="solid">
        <fgColor rgb="FFEAF3FF"/>
      </patternFill>
    </fill>
    <fill>
      <patternFill patternType="solid">
        <fgColor rgb="FFFFFFFF"/>
      </patternFill>
    </fill>
    <fill>
      <patternFill patternType="solid">
        <fgColor rgb="FFF5F6F8"/>
      </patternFill>
    </fill>
    <fill>
      <patternFill patternType="solid">
        <fgColor rgb="FF252423"/>
      </patternFill>
    </fill>
    <fill>
      <patternFill patternType="solid">
        <fgColor rgb="FF118DFF"/>
      </patternFill>
    </fill>
    <fill>
      <patternFill patternType="solid">
        <fgColor rgb="FF343331"/>
      </patternFill>
    </fill>
    <fill>
      <patternFill patternType="solid">
        <fgColor rgb="FFF2C94C"/>
      </patternFill>
    </fill>
    <fill>
      <patternFill patternType="solid">
        <fgColor rgb="FF2EAD62"/>
      </patternFill>
    </fill>
    <fill>
      <patternFill patternType="solid">
        <fgColor rgb="FF5B8FF9"/>
      </patternFill>
    </fill>
    <fill>
      <patternFill patternType="solid">
        <fgColor rgb="FFE15759"/>
      </patternFill>
    </fill>
    <fill>
      <patternFill patternType="solid">
        <fgColor theme="0"/>
        <bgColor indexed="64"/>
      </patternFill>
    </fill>
  </fills>
  <borders count="19">
    <border>
      <left/>
      <right/>
      <top/>
      <bottom/>
      <diagonal/>
    </border>
    <border>
      <left style="thin">
        <color rgb="FFD5DEE8"/>
      </left>
      <right style="thin">
        <color rgb="FFD5DEE8"/>
      </right>
      <top style="thin">
        <color rgb="FFD5DEE8"/>
      </top>
      <bottom style="thin">
        <color rgb="FFD5DEE8"/>
      </bottom>
      <diagonal/>
    </border>
    <border>
      <left style="thin">
        <color rgb="FFD5DEE8"/>
      </left>
      <right style="thin">
        <color rgb="FFEEF2F5"/>
      </right>
      <top style="thin">
        <color rgb="FFD5DEE8"/>
      </top>
      <bottom style="thin">
        <color rgb="FFEEF2F5"/>
      </bottom>
      <diagonal/>
    </border>
    <border>
      <left style="thin">
        <color rgb="FFEEF2F5"/>
      </left>
      <right style="thin">
        <color rgb="FFEEF2F5"/>
      </right>
      <top style="thin">
        <color rgb="FFD5DEE8"/>
      </top>
      <bottom style="thin">
        <color rgb="FFEEF2F5"/>
      </bottom>
      <diagonal/>
    </border>
    <border>
      <left style="thin">
        <color rgb="FFD5DEE8"/>
      </left>
      <right style="thin">
        <color rgb="FFEEF2F5"/>
      </right>
      <top style="thin">
        <color rgb="FFEEF2F5"/>
      </top>
      <bottom style="thin">
        <color rgb="FFEEF2F5"/>
      </bottom>
      <diagonal/>
    </border>
    <border>
      <left style="thin">
        <color rgb="FFEEF2F5"/>
      </left>
      <right style="thin">
        <color rgb="FFEEF2F5"/>
      </right>
      <top style="thin">
        <color rgb="FFEEF2F5"/>
      </top>
      <bottom style="thin">
        <color rgb="FFEEF2F5"/>
      </bottom>
      <diagonal/>
    </border>
    <border>
      <left style="thin">
        <color rgb="FFD5DEE8"/>
      </left>
      <right style="thin">
        <color rgb="FFEEF2F5"/>
      </right>
      <top style="thin">
        <color rgb="FFEEF2F5"/>
      </top>
      <bottom style="thin">
        <color rgb="FFD5DEE8"/>
      </bottom>
      <diagonal/>
    </border>
    <border>
      <left style="thin">
        <color rgb="FFEEF2F5"/>
      </left>
      <right style="thin">
        <color rgb="FFEEF2F5"/>
      </right>
      <top style="thin">
        <color rgb="FFEEF2F5"/>
      </top>
      <bottom style="thin">
        <color rgb="FFD5DEE8"/>
      </bottom>
      <diagonal/>
    </border>
    <border>
      <left style="thin">
        <color rgb="FFE1E1E1"/>
      </left>
      <right/>
      <top style="thin">
        <color rgb="FFE1E1E1"/>
      </top>
      <bottom style="thin">
        <color rgb="FFE1E1E1"/>
      </bottom>
      <diagonal/>
    </border>
    <border>
      <left/>
      <right/>
      <top style="thin">
        <color rgb="FFE1E1E1"/>
      </top>
      <bottom style="thin">
        <color rgb="FFE1E1E1"/>
      </bottom>
      <diagonal/>
    </border>
    <border>
      <left/>
      <right style="thin">
        <color rgb="FFE1E1E1"/>
      </right>
      <top style="thin">
        <color rgb="FFE1E1E1"/>
      </top>
      <bottom style="thin">
        <color rgb="FFE1E1E1"/>
      </bottom>
      <diagonal/>
    </border>
    <border>
      <left style="thin">
        <color rgb="FFE1E1E1"/>
      </left>
      <right/>
      <top style="thin">
        <color rgb="FFE1E1E1"/>
      </top>
      <bottom/>
      <diagonal/>
    </border>
    <border>
      <left/>
      <right/>
      <top style="thin">
        <color rgb="FFE1E1E1"/>
      </top>
      <bottom/>
      <diagonal/>
    </border>
    <border>
      <left/>
      <right style="thin">
        <color rgb="FFE1E1E1"/>
      </right>
      <top style="thin">
        <color rgb="FFE1E1E1"/>
      </top>
      <bottom/>
      <diagonal/>
    </border>
    <border>
      <left style="thin">
        <color rgb="FFE1E1E1"/>
      </left>
      <right/>
      <top/>
      <bottom/>
      <diagonal/>
    </border>
    <border>
      <left/>
      <right style="thin">
        <color rgb="FFE1E1E1"/>
      </right>
      <top/>
      <bottom/>
      <diagonal/>
    </border>
    <border>
      <left style="thin">
        <color rgb="FFE1E1E1"/>
      </left>
      <right/>
      <top/>
      <bottom style="thin">
        <color rgb="FFE1E1E1"/>
      </bottom>
      <diagonal/>
    </border>
    <border>
      <left/>
      <right/>
      <top/>
      <bottom style="thin">
        <color rgb="FFE1E1E1"/>
      </bottom>
      <diagonal/>
    </border>
    <border>
      <left/>
      <right style="thin">
        <color rgb="FFE1E1E1"/>
      </right>
      <top/>
      <bottom style="thin">
        <color rgb="FFE1E1E1"/>
      </bottom>
      <diagonal/>
    </border>
  </borders>
  <cellStyleXfs count="1">
    <xf numFmtId="0" fontId="0" fillId="0" borderId="0"/>
  </cellStyleXfs>
  <cellXfs count="84">
    <xf numFmtId="0" fontId="0" fillId="0" borderId="0" xfId="0"/>
    <xf numFmtId="0" fontId="2" fillId="2" borderId="1" xfId="0" applyFont="1" applyFill="1" applyBorder="1" applyAlignment="1">
      <alignment horizontal="center" vertical="center" wrapText="1"/>
    </xf>
    <xf numFmtId="0" fontId="0" fillId="3" borderId="1" xfId="0" applyFill="1" applyBorder="1"/>
    <xf numFmtId="164" fontId="0" fillId="3" borderId="1" xfId="0" applyNumberFormat="1" applyFill="1" applyBorder="1"/>
    <xf numFmtId="9" fontId="0" fillId="3" borderId="1" xfId="0" applyNumberFormat="1" applyFill="1" applyBorder="1"/>
    <xf numFmtId="165" fontId="0" fillId="3" borderId="1" xfId="0" applyNumberFormat="1" applyFill="1" applyBorder="1"/>
    <xf numFmtId="0" fontId="0" fillId="5" borderId="0" xfId="0" applyFill="1"/>
    <xf numFmtId="0" fontId="4" fillId="0" borderId="0" xfId="0" applyFont="1" applyAlignment="1">
      <alignment horizontal="center"/>
    </xf>
    <xf numFmtId="0" fontId="5" fillId="5" borderId="0" xfId="0" applyFont="1" applyFill="1"/>
    <xf numFmtId="165" fontId="0" fillId="0" borderId="0" xfId="0" applyNumberFormat="1"/>
    <xf numFmtId="164" fontId="0" fillId="0" borderId="0" xfId="0" applyNumberFormat="1"/>
    <xf numFmtId="0" fontId="0" fillId="7" borderId="2" xfId="0" applyFill="1" applyBorder="1"/>
    <xf numFmtId="165" fontId="0" fillId="7" borderId="3" xfId="0" applyNumberFormat="1" applyFill="1" applyBorder="1"/>
    <xf numFmtId="0" fontId="0" fillId="7" borderId="3" xfId="0" applyFill="1" applyBorder="1"/>
    <xf numFmtId="164" fontId="0" fillId="7" borderId="3" xfId="0" applyNumberFormat="1" applyFill="1" applyBorder="1"/>
    <xf numFmtId="0" fontId="0" fillId="7" borderId="4" xfId="0" applyFill="1" applyBorder="1"/>
    <xf numFmtId="165" fontId="0" fillId="7" borderId="5" xfId="0" applyNumberFormat="1" applyFill="1" applyBorder="1"/>
    <xf numFmtId="0" fontId="0" fillId="7" borderId="5" xfId="0" applyFill="1" applyBorder="1"/>
    <xf numFmtId="164" fontId="0" fillId="7" borderId="5" xfId="0" applyNumberFormat="1" applyFill="1" applyBorder="1"/>
    <xf numFmtId="0" fontId="0" fillId="7" borderId="6" xfId="0" applyFill="1" applyBorder="1"/>
    <xf numFmtId="165" fontId="0" fillId="7" borderId="7" xfId="0" applyNumberFormat="1" applyFill="1" applyBorder="1"/>
    <xf numFmtId="0" fontId="0" fillId="7" borderId="7" xfId="0" applyFill="1" applyBorder="1"/>
    <xf numFmtId="164" fontId="0" fillId="7" borderId="7" xfId="0" applyNumberFormat="1" applyFill="1" applyBorder="1"/>
    <xf numFmtId="164" fontId="0" fillId="5" borderId="0" xfId="0" applyNumberFormat="1" applyFill="1"/>
    <xf numFmtId="166" fontId="0" fillId="0" borderId="0" xfId="0" applyNumberFormat="1"/>
    <xf numFmtId="0" fontId="0" fillId="0" borderId="1" xfId="0" applyBorder="1"/>
    <xf numFmtId="164" fontId="0" fillId="0" borderId="1" xfId="0" applyNumberFormat="1" applyBorder="1"/>
    <xf numFmtId="167" fontId="0" fillId="0" borderId="1" xfId="0" applyNumberFormat="1" applyBorder="1"/>
    <xf numFmtId="168" fontId="0" fillId="0" borderId="0" xfId="0" applyNumberFormat="1"/>
    <xf numFmtId="0" fontId="7" fillId="8" borderId="0" xfId="0" applyFont="1" applyFill="1"/>
    <xf numFmtId="0" fontId="7" fillId="9" borderId="0" xfId="0" applyFont="1" applyFill="1"/>
    <xf numFmtId="0" fontId="12" fillId="9" borderId="0" xfId="0" applyFont="1" applyFill="1"/>
    <xf numFmtId="0" fontId="7" fillId="7" borderId="11" xfId="0" applyFont="1" applyFill="1" applyBorder="1"/>
    <xf numFmtId="0" fontId="7" fillId="7" borderId="12" xfId="0" applyFont="1" applyFill="1" applyBorder="1"/>
    <xf numFmtId="0" fontId="7" fillId="7" borderId="13" xfId="0" applyFont="1" applyFill="1" applyBorder="1"/>
    <xf numFmtId="0" fontId="7" fillId="7" borderId="16" xfId="0" applyFont="1" applyFill="1" applyBorder="1"/>
    <xf numFmtId="0" fontId="7" fillId="7" borderId="17" xfId="0" applyFont="1" applyFill="1" applyBorder="1"/>
    <xf numFmtId="0" fontId="7" fillId="7" borderId="18" xfId="0" applyFont="1" applyFill="1" applyBorder="1"/>
    <xf numFmtId="0" fontId="11" fillId="10" borderId="14" xfId="0" applyFont="1" applyFill="1" applyBorder="1" applyAlignment="1">
      <alignment horizontal="center"/>
    </xf>
    <xf numFmtId="0" fontId="19" fillId="7" borderId="0" xfId="0" applyFont="1" applyFill="1"/>
    <xf numFmtId="0" fontId="0" fillId="16" borderId="0" xfId="0" applyFill="1"/>
    <xf numFmtId="0" fontId="19" fillId="16" borderId="0" xfId="0" applyFont="1" applyFill="1"/>
    <xf numFmtId="14" fontId="2" fillId="2" borderId="1" xfId="0" applyNumberFormat="1" applyFont="1" applyFill="1" applyBorder="1" applyAlignment="1">
      <alignment horizontal="center" vertical="center" wrapText="1"/>
    </xf>
    <xf numFmtId="14" fontId="0" fillId="0" borderId="0" xfId="0" applyNumberFormat="1"/>
    <xf numFmtId="0" fontId="20" fillId="0" borderId="0" xfId="0" applyFont="1"/>
    <xf numFmtId="0" fontId="1" fillId="2" borderId="0" xfId="0" applyFont="1" applyFill="1" applyAlignment="1">
      <alignment horizontal="left" vertical="center"/>
    </xf>
    <xf numFmtId="0" fontId="2" fillId="4" borderId="0" xfId="0" applyFont="1" applyFill="1" applyAlignment="1">
      <alignment vertical="center"/>
    </xf>
    <xf numFmtId="0" fontId="0" fillId="6" borderId="0" xfId="0" applyFill="1" applyAlignment="1">
      <alignment vertical="center" wrapText="1"/>
    </xf>
    <xf numFmtId="0" fontId="0" fillId="0" borderId="0" xfId="0"/>
    <xf numFmtId="0" fontId="3" fillId="0" borderId="0" xfId="0" applyFont="1" applyAlignment="1">
      <alignment horizontal="center"/>
    </xf>
    <xf numFmtId="0" fontId="0" fillId="5" borderId="0" xfId="0" applyFill="1" applyAlignment="1">
      <alignment vertical="center" wrapText="1"/>
    </xf>
    <xf numFmtId="0" fontId="7" fillId="7" borderId="0" xfId="0" applyFont="1" applyFill="1" applyAlignment="1">
      <alignment vertical="center"/>
    </xf>
    <xf numFmtId="0" fontId="7" fillId="7" borderId="15" xfId="0" applyFont="1" applyFill="1" applyBorder="1" applyAlignment="1">
      <alignment vertical="center"/>
    </xf>
    <xf numFmtId="0" fontId="18" fillId="8" borderId="0" xfId="0" applyFont="1" applyFill="1"/>
    <xf numFmtId="0" fontId="7" fillId="8" borderId="0" xfId="0" applyFont="1" applyFill="1"/>
    <xf numFmtId="0" fontId="11" fillId="9" borderId="0" xfId="0" applyFont="1" applyFill="1" applyAlignment="1">
      <alignment vertical="center"/>
    </xf>
    <xf numFmtId="169" fontId="15" fillId="7" borderId="0" xfId="0" applyNumberFormat="1" applyFont="1" applyFill="1" applyAlignment="1">
      <alignment vertical="center"/>
    </xf>
    <xf numFmtId="0" fontId="16" fillId="7" borderId="0" xfId="0" applyFont="1" applyFill="1" applyAlignment="1">
      <alignment vertical="top"/>
    </xf>
    <xf numFmtId="164" fontId="15" fillId="7" borderId="0" xfId="0" applyNumberFormat="1" applyFont="1" applyFill="1" applyAlignment="1">
      <alignment vertical="center"/>
    </xf>
    <xf numFmtId="0" fontId="14" fillId="9" borderId="0" xfId="0" applyFont="1" applyFill="1" applyAlignment="1">
      <alignment horizontal="left" vertical="center"/>
    </xf>
    <xf numFmtId="0" fontId="17" fillId="14" borderId="8" xfId="0" applyFont="1" applyFill="1" applyBorder="1"/>
    <xf numFmtId="0" fontId="17" fillId="14" borderId="9" xfId="0" applyFont="1" applyFill="1" applyBorder="1"/>
    <xf numFmtId="0" fontId="17" fillId="14" borderId="10" xfId="0" applyFont="1" applyFill="1" applyBorder="1"/>
    <xf numFmtId="0" fontId="17" fillId="12" borderId="8" xfId="0" applyFont="1" applyFill="1" applyBorder="1"/>
    <xf numFmtId="0" fontId="17" fillId="12" borderId="9" xfId="0" applyFont="1" applyFill="1" applyBorder="1"/>
    <xf numFmtId="0" fontId="17" fillId="12" borderId="10" xfId="0" applyFont="1" applyFill="1" applyBorder="1"/>
    <xf numFmtId="0" fontId="17" fillId="15" borderId="8" xfId="0" applyFont="1" applyFill="1" applyBorder="1"/>
    <xf numFmtId="0" fontId="17" fillId="15" borderId="9" xfId="0" applyFont="1" applyFill="1" applyBorder="1"/>
    <xf numFmtId="0" fontId="17" fillId="15" borderId="10" xfId="0" applyFont="1" applyFill="1" applyBorder="1"/>
    <xf numFmtId="0" fontId="17" fillId="13" borderId="8" xfId="0" applyFont="1" applyFill="1" applyBorder="1"/>
    <xf numFmtId="0" fontId="17" fillId="13" borderId="9" xfId="0" applyFont="1" applyFill="1" applyBorder="1"/>
    <xf numFmtId="0" fontId="17" fillId="13" borderId="10" xfId="0" applyFont="1" applyFill="1" applyBorder="1"/>
    <xf numFmtId="0" fontId="10" fillId="11" borderId="0" xfId="0" applyFont="1" applyFill="1" applyAlignment="1">
      <alignment horizontal="left" vertical="center" wrapText="1"/>
    </xf>
    <xf numFmtId="0" fontId="12" fillId="9" borderId="0" xfId="0" applyFont="1" applyFill="1"/>
    <xf numFmtId="0" fontId="17" fillId="10" borderId="8" xfId="0" applyFont="1" applyFill="1" applyBorder="1"/>
    <xf numFmtId="0" fontId="17" fillId="10" borderId="9" xfId="0" applyFont="1" applyFill="1" applyBorder="1"/>
    <xf numFmtId="0" fontId="17" fillId="10" borderId="10" xfId="0" applyFont="1" applyFill="1" applyBorder="1"/>
    <xf numFmtId="0" fontId="11" fillId="10" borderId="0" xfId="0" applyFont="1" applyFill="1" applyAlignment="1">
      <alignment horizontal="left" vertical="center"/>
    </xf>
    <xf numFmtId="0" fontId="8" fillId="9" borderId="0" xfId="0" applyFont="1" applyFill="1" applyAlignment="1">
      <alignment vertical="center"/>
    </xf>
    <xf numFmtId="0" fontId="9" fillId="9" borderId="0" xfId="0" applyFont="1" applyFill="1" applyAlignment="1">
      <alignment vertical="center"/>
    </xf>
    <xf numFmtId="0" fontId="10" fillId="9" borderId="0" xfId="0" applyFont="1" applyFill="1" applyAlignment="1">
      <alignment horizontal="right"/>
    </xf>
    <xf numFmtId="0" fontId="11" fillId="9" borderId="0" xfId="0" applyFont="1" applyFill="1" applyAlignment="1">
      <alignment horizontal="right"/>
    </xf>
    <xf numFmtId="0" fontId="13" fillId="9" borderId="0" xfId="0" applyFont="1" applyFill="1" applyAlignment="1">
      <alignment horizontal="center"/>
    </xf>
    <xf numFmtId="0" fontId="6" fillId="6" borderId="0" xfId="0" applyFont="1" applyFill="1" applyAlignment="1">
      <alignment wrapText="1"/>
    </xf>
  </cellXfs>
  <cellStyles count="1">
    <cellStyle name="Normal" xfId="0" builtinId="0"/>
  </cellStyles>
  <dxfs count="2">
    <dxf>
      <font>
        <b/>
        <color rgb="FF8A5A00"/>
      </font>
      <fill>
        <patternFill patternType="solid">
          <bgColor rgb="FFFFF3CD"/>
        </patternFill>
      </fill>
    </dxf>
    <dxf>
      <font>
        <b/>
        <color rgb="FFA12B2B"/>
      </font>
      <fill>
        <patternFill patternType="solid">
          <bgColor rgb="FFFDE8E8"/>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Projected Closing Cash</a:t>
            </a:r>
          </a:p>
        </c:rich>
      </c:tx>
      <c:overlay val="0"/>
    </c:title>
    <c:autoTitleDeleted val="0"/>
    <c:plotArea>
      <c:layout/>
      <c:lineChart>
        <c:grouping val="standard"/>
        <c:varyColors val="0"/>
        <c:ser>
          <c:idx val="0"/>
          <c:order val="0"/>
          <c:tx>
            <c:v>Inflow</c:v>
          </c:tx>
          <c:marker>
            <c:symbol val="none"/>
          </c:marker>
          <c:cat>
            <c:strRef>
              <c:f>'02_DASHBOARD'!$T$2:$T$4</c:f>
              <c:strCache>
                <c:ptCount val="3"/>
                <c:pt idx="0">
                  <c:v>Aug</c:v>
                </c:pt>
                <c:pt idx="1">
                  <c:v>Sep</c:v>
                </c:pt>
                <c:pt idx="2">
                  <c:v>Oct</c:v>
                </c:pt>
              </c:strCache>
            </c:strRef>
          </c:cat>
          <c:val>
            <c:numRef>
              <c:f>'02_DASHBOARD'!$U$2:$U$4</c:f>
              <c:numCache>
                <c:formatCode>General</c:formatCode>
                <c:ptCount val="3"/>
                <c:pt idx="0">
                  <c:v>240000</c:v>
                </c:pt>
                <c:pt idx="1">
                  <c:v>155000</c:v>
                </c:pt>
                <c:pt idx="2">
                  <c:v>155000</c:v>
                </c:pt>
              </c:numCache>
            </c:numRef>
          </c:val>
          <c:smooth val="0"/>
          <c:extLst>
            <c:ext xmlns:c16="http://schemas.microsoft.com/office/drawing/2014/chart" uri="{C3380CC4-5D6E-409C-BE32-E72D297353CC}">
              <c16:uniqueId val="{00000000-C090-47F3-8E51-0B9AEC76516A}"/>
            </c:ext>
          </c:extLst>
        </c:ser>
        <c:ser>
          <c:idx val="1"/>
          <c:order val="1"/>
          <c:tx>
            <c:v>Outflow</c:v>
          </c:tx>
          <c:marker>
            <c:symbol val="none"/>
          </c:marker>
          <c:cat>
            <c:strRef>
              <c:f>'02_DASHBOARD'!$T$2:$T$4</c:f>
              <c:strCache>
                <c:ptCount val="3"/>
                <c:pt idx="0">
                  <c:v>Aug</c:v>
                </c:pt>
                <c:pt idx="1">
                  <c:v>Sep</c:v>
                </c:pt>
                <c:pt idx="2">
                  <c:v>Oct</c:v>
                </c:pt>
              </c:strCache>
            </c:strRef>
          </c:cat>
          <c:val>
            <c:numRef>
              <c:f>'02_DASHBOARD'!$V$2:$V$4</c:f>
              <c:numCache>
                <c:formatCode>General</c:formatCode>
                <c:ptCount val="3"/>
                <c:pt idx="0">
                  <c:v>195000</c:v>
                </c:pt>
                <c:pt idx="1">
                  <c:v>184200</c:v>
                </c:pt>
                <c:pt idx="2">
                  <c:v>184200</c:v>
                </c:pt>
              </c:numCache>
            </c:numRef>
          </c:val>
          <c:smooth val="0"/>
          <c:extLst>
            <c:ext xmlns:c16="http://schemas.microsoft.com/office/drawing/2014/chart" uri="{C3380CC4-5D6E-409C-BE32-E72D297353CC}">
              <c16:uniqueId val="{00000001-C090-47F3-8E51-0B9AEC76516A}"/>
            </c:ext>
          </c:extLst>
        </c:ser>
        <c:ser>
          <c:idx val="2"/>
          <c:order val="2"/>
          <c:tx>
            <c:v>Closing Cash</c:v>
          </c:tx>
          <c:marker>
            <c:symbol val="none"/>
          </c:marker>
          <c:cat>
            <c:strRef>
              <c:f>'02_DASHBOARD'!$T$2:$T$4</c:f>
              <c:strCache>
                <c:ptCount val="3"/>
                <c:pt idx="0">
                  <c:v>Aug</c:v>
                </c:pt>
                <c:pt idx="1">
                  <c:v>Sep</c:v>
                </c:pt>
                <c:pt idx="2">
                  <c:v>Oct</c:v>
                </c:pt>
              </c:strCache>
            </c:strRef>
          </c:cat>
          <c:val>
            <c:numRef>
              <c:f>'02_DASHBOARD'!$W$2:$W$4</c:f>
              <c:numCache>
                <c:formatCode>General</c:formatCode>
                <c:ptCount val="3"/>
                <c:pt idx="0">
                  <c:v>530000</c:v>
                </c:pt>
                <c:pt idx="1">
                  <c:v>500800</c:v>
                </c:pt>
                <c:pt idx="2">
                  <c:v>471600</c:v>
                </c:pt>
              </c:numCache>
            </c:numRef>
          </c:val>
          <c:smooth val="0"/>
          <c:extLst>
            <c:ext xmlns:c16="http://schemas.microsoft.com/office/drawing/2014/chart" uri="{C3380CC4-5D6E-409C-BE32-E72D297353CC}">
              <c16:uniqueId val="{00000002-C090-47F3-8E51-0B9AEC76516A}"/>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Cash Outflow by Category</a:t>
            </a:r>
          </a:p>
        </c:rich>
      </c:tx>
      <c:overlay val="0"/>
    </c:title>
    <c:autoTitleDeleted val="0"/>
    <c:plotArea>
      <c:layout/>
      <c:barChart>
        <c:barDir val="col"/>
        <c:grouping val="clustered"/>
        <c:varyColors val="0"/>
        <c:ser>
          <c:idx val="0"/>
          <c:order val="0"/>
          <c:tx>
            <c:v>Amount</c:v>
          </c:tx>
          <c:invertIfNegative val="1"/>
          <c:cat>
            <c:strRef>
              <c:f>'02_DASHBOARD'!$T$7:$T$10</c:f>
              <c:strCache>
                <c:ptCount val="4"/>
                <c:pt idx="0">
                  <c:v>Salary</c:v>
                </c:pt>
                <c:pt idx="1">
                  <c:v>Rent</c:v>
                </c:pt>
                <c:pt idx="2">
                  <c:v>Marketing</c:v>
                </c:pt>
                <c:pt idx="3">
                  <c:v>Software</c:v>
                </c:pt>
              </c:strCache>
            </c:strRef>
          </c:cat>
          <c:val>
            <c:numRef>
              <c:f>'02_DASHBOARD'!$U$7:$U$10</c:f>
              <c:numCache>
                <c:formatCode>General</c:formatCode>
                <c:ptCount val="4"/>
                <c:pt idx="0">
                  <c:v>75000</c:v>
                </c:pt>
                <c:pt idx="1">
                  <c:v>25000</c:v>
                </c:pt>
                <c:pt idx="2">
                  <c:v>18000</c:v>
                </c:pt>
                <c:pt idx="3">
                  <c:v>4200</c:v>
                </c:pt>
              </c:numCache>
            </c:numRef>
          </c:val>
          <c:extLst>
            <c:ext xmlns:c16="http://schemas.microsoft.com/office/drawing/2014/chart" uri="{C3380CC4-5D6E-409C-BE32-E72D297353CC}">
              <c16:uniqueId val="{00000000-41B5-4CAE-BF0D-8CF5959BFBE7}"/>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Outstanding Receivables</a:t>
            </a:r>
          </a:p>
        </c:rich>
      </c:tx>
      <c:overlay val="0"/>
    </c:title>
    <c:autoTitleDeleted val="0"/>
    <c:plotArea>
      <c:layout/>
      <c:barChart>
        <c:barDir val="col"/>
        <c:grouping val="clustered"/>
        <c:varyColors val="0"/>
        <c:ser>
          <c:idx val="0"/>
          <c:order val="0"/>
          <c:tx>
            <c:v>Outstanding</c:v>
          </c:tx>
          <c:invertIfNegative val="1"/>
          <c:cat>
            <c:strRef>
              <c:f>'02_DASHBOARD'!$T$13:$T$15</c:f>
              <c:strCache>
                <c:ptCount val="3"/>
                <c:pt idx="0">
                  <c:v>Current / Due Soon</c:v>
                </c:pt>
                <c:pt idx="1">
                  <c:v>1–30 Days</c:v>
                </c:pt>
                <c:pt idx="2">
                  <c:v>31–60 Days</c:v>
                </c:pt>
              </c:strCache>
            </c:strRef>
          </c:cat>
          <c:val>
            <c:numRef>
              <c:f>'02_DASHBOARD'!$U$13:$U$15</c:f>
              <c:numCache>
                <c:formatCode>General</c:formatCode>
                <c:ptCount val="3"/>
                <c:pt idx="0">
                  <c:v>195000</c:v>
                </c:pt>
                <c:pt idx="1">
                  <c:v>0</c:v>
                </c:pt>
                <c:pt idx="2">
                  <c:v>0</c:v>
                </c:pt>
              </c:numCache>
            </c:numRef>
          </c:val>
          <c:extLst>
            <c:ext xmlns:c16="http://schemas.microsoft.com/office/drawing/2014/chart" uri="{C3380CC4-5D6E-409C-BE32-E72D297353CC}">
              <c16:uniqueId val="{00000000-481A-4926-83D1-DC6FEB9950B9}"/>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a:lstStyle/>
          <a:p>
            <a:r>
              <a:rPr lang="en-IN"/>
              <a:t>Annual Cash Flow Performance</a:t>
            </a:r>
          </a:p>
        </c:rich>
      </c:tx>
      <c:overlay val="0"/>
    </c:title>
    <c:autoTitleDeleted val="0"/>
    <c:plotArea>
      <c:layout/>
      <c:barChart>
        <c:barDir val="col"/>
        <c:grouping val="clustered"/>
        <c:varyColors val="0"/>
        <c:ser>
          <c:idx val="0"/>
          <c:order val="0"/>
          <c:tx>
            <c:v>Cash Inflow</c:v>
          </c:tx>
          <c:invertIfNegative val="1"/>
          <c:cat>
            <c:strRef>
              <c:f>'02_DASHBOARD'!$T$18:$T$20</c:f>
              <c:strCache>
                <c:ptCount val="3"/>
                <c:pt idx="0">
                  <c:v>2024</c:v>
                </c:pt>
                <c:pt idx="1">
                  <c:v>2025</c:v>
                </c:pt>
                <c:pt idx="2">
                  <c:v>2026 YTD</c:v>
                </c:pt>
              </c:strCache>
            </c:strRef>
          </c:cat>
          <c:val>
            <c:numRef>
              <c:f>'02_DASHBOARD'!$U$18:$U$20</c:f>
              <c:numCache>
                <c:formatCode>General</c:formatCode>
                <c:ptCount val="3"/>
                <c:pt idx="0">
                  <c:v>255000</c:v>
                </c:pt>
                <c:pt idx="1">
                  <c:v>447000</c:v>
                </c:pt>
                <c:pt idx="2">
                  <c:v>500000</c:v>
                </c:pt>
              </c:numCache>
            </c:numRef>
          </c:val>
          <c:extLst>
            <c:ext xmlns:c16="http://schemas.microsoft.com/office/drawing/2014/chart" uri="{C3380CC4-5D6E-409C-BE32-E72D297353CC}">
              <c16:uniqueId val="{00000000-60C9-439F-A4C0-114D6A4F67E6}"/>
            </c:ext>
          </c:extLst>
        </c:ser>
        <c:ser>
          <c:idx val="1"/>
          <c:order val="1"/>
          <c:tx>
            <c:v>Cash Outflow</c:v>
          </c:tx>
          <c:invertIfNegative val="1"/>
          <c:cat>
            <c:strRef>
              <c:f>'02_DASHBOARD'!$T$18:$T$20</c:f>
              <c:strCache>
                <c:ptCount val="3"/>
                <c:pt idx="0">
                  <c:v>2024</c:v>
                </c:pt>
                <c:pt idx="1">
                  <c:v>2025</c:v>
                </c:pt>
                <c:pt idx="2">
                  <c:v>2026 YTD</c:v>
                </c:pt>
              </c:strCache>
            </c:strRef>
          </c:cat>
          <c:val>
            <c:numRef>
              <c:f>'02_DASHBOARD'!$V$18:$V$20</c:f>
              <c:numCache>
                <c:formatCode>General</c:formatCode>
                <c:ptCount val="3"/>
                <c:pt idx="0">
                  <c:v>86800</c:v>
                </c:pt>
                <c:pt idx="1">
                  <c:v>207800</c:v>
                </c:pt>
                <c:pt idx="2">
                  <c:v>293400</c:v>
                </c:pt>
              </c:numCache>
            </c:numRef>
          </c:val>
          <c:extLst>
            <c:ext xmlns:c16="http://schemas.microsoft.com/office/drawing/2014/chart" uri="{C3380CC4-5D6E-409C-BE32-E72D297353CC}">
              <c16:uniqueId val="{00000001-60C9-439F-A4C0-114D6A4F67E6}"/>
            </c:ext>
          </c:extLst>
        </c:ser>
        <c:ser>
          <c:idx val="2"/>
          <c:order val="2"/>
          <c:tx>
            <c:v>Net Cash Flow</c:v>
          </c:tx>
          <c:invertIfNegative val="1"/>
          <c:cat>
            <c:strRef>
              <c:f>'02_DASHBOARD'!$T$18:$T$20</c:f>
              <c:strCache>
                <c:ptCount val="3"/>
                <c:pt idx="0">
                  <c:v>2024</c:v>
                </c:pt>
                <c:pt idx="1">
                  <c:v>2025</c:v>
                </c:pt>
                <c:pt idx="2">
                  <c:v>2026 YTD</c:v>
                </c:pt>
              </c:strCache>
            </c:strRef>
          </c:cat>
          <c:val>
            <c:numRef>
              <c:f>'02_DASHBOARD'!$W$18:$W$20</c:f>
              <c:numCache>
                <c:formatCode>General</c:formatCode>
                <c:ptCount val="3"/>
                <c:pt idx="0">
                  <c:v>168200</c:v>
                </c:pt>
                <c:pt idx="1">
                  <c:v>239200</c:v>
                </c:pt>
                <c:pt idx="2">
                  <c:v>206600</c:v>
                </c:pt>
              </c:numCache>
            </c:numRef>
          </c:val>
          <c:extLst>
            <c:ext xmlns:c16="http://schemas.microsoft.com/office/drawing/2014/chart" uri="{C3380CC4-5D6E-409C-BE32-E72D297353CC}">
              <c16:uniqueId val="{00000002-60C9-439F-A4C0-114D6A4F67E6}"/>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legend>
      <c:legendPos val="b"/>
      <c:overlay val="0"/>
    </c:legend>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0</xdr:colOff>
      <xdr:row>15</xdr:row>
      <xdr:rowOff>0</xdr:rowOff>
    </xdr:from>
    <xdr:to>
      <xdr:col>8</xdr:col>
      <xdr:colOff>806824</xdr:colOff>
      <xdr:row>28</xdr:row>
      <xdr:rowOff>0</xdr:rowOff>
    </xdr:to>
    <xdr:graphicFrame macro="">
      <xdr:nvGraphicFramePr>
        <xdr:cNvPr id="2" name="Chart">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0</xdr:rowOff>
    </xdr:from>
    <xdr:to>
      <xdr:col>17</xdr:col>
      <xdr:colOff>0</xdr:colOff>
      <xdr:row>28</xdr:row>
      <xdr:rowOff>0</xdr:rowOff>
    </xdr:to>
    <xdr:graphicFrame macro="">
      <xdr:nvGraphicFramePr>
        <xdr:cNvPr id="3" name="Chart">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29</xdr:row>
      <xdr:rowOff>67235</xdr:rowOff>
    </xdr:from>
    <xdr:to>
      <xdr:col>9</xdr:col>
      <xdr:colOff>56029</xdr:colOff>
      <xdr:row>44</xdr:row>
      <xdr:rowOff>0</xdr:rowOff>
    </xdr:to>
    <xdr:graphicFrame macro="">
      <xdr:nvGraphicFramePr>
        <xdr:cNvPr id="4" name="Chart">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33618</xdr:colOff>
      <xdr:row>29</xdr:row>
      <xdr:rowOff>67236</xdr:rowOff>
    </xdr:from>
    <xdr:to>
      <xdr:col>17</xdr:col>
      <xdr:colOff>0</xdr:colOff>
      <xdr:row>44</xdr:row>
      <xdr:rowOff>0</xdr:rowOff>
    </xdr:to>
    <xdr:graphicFrame macro="">
      <xdr:nvGraphicFramePr>
        <xdr:cNvPr id="5" name="Chart">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
  <sheetViews>
    <sheetView showGridLines="0" workbookViewId="0">
      <selection sqref="A1:H1"/>
    </sheetView>
  </sheetViews>
  <sheetFormatPr defaultRowHeight="14.25"/>
  <cols>
    <col min="1" max="1" width="10" customWidth="1"/>
    <col min="2" max="2" width="28" customWidth="1"/>
    <col min="3" max="4" width="16" customWidth="1"/>
    <col min="5" max="5" width="5" customWidth="1"/>
    <col min="6" max="7" width="22" customWidth="1"/>
    <col min="8" max="8" width="18" customWidth="1"/>
  </cols>
  <sheetData>
    <row r="1" spans="1:8" ht="30" customHeight="1">
      <c r="A1" s="45" t="s">
        <v>0</v>
      </c>
      <c r="B1" s="45" t="s">
        <v>0</v>
      </c>
      <c r="C1" s="45" t="s">
        <v>0</v>
      </c>
      <c r="D1" s="45" t="s">
        <v>0</v>
      </c>
      <c r="E1" s="45" t="s">
        <v>0</v>
      </c>
      <c r="F1" s="45" t="s">
        <v>0</v>
      </c>
      <c r="G1" s="45" t="s">
        <v>0</v>
      </c>
      <c r="H1" s="45" t="s">
        <v>0</v>
      </c>
    </row>
    <row r="2" spans="1:8" ht="15">
      <c r="A2" s="49" t="s">
        <v>1</v>
      </c>
      <c r="B2" s="48"/>
      <c r="C2" s="48"/>
      <c r="D2" s="48"/>
      <c r="E2" s="48"/>
      <c r="F2" s="48"/>
      <c r="G2" s="48"/>
      <c r="H2" s="48"/>
    </row>
    <row r="4" spans="1:8" ht="15">
      <c r="A4" s="46" t="s">
        <v>2</v>
      </c>
      <c r="B4" s="46" t="s">
        <v>2</v>
      </c>
      <c r="C4" s="46" t="s">
        <v>2</v>
      </c>
      <c r="D4" s="46" t="s">
        <v>2</v>
      </c>
      <c r="E4" s="46" t="s">
        <v>2</v>
      </c>
      <c r="F4" s="46" t="s">
        <v>2</v>
      </c>
      <c r="G4" s="46" t="s">
        <v>2</v>
      </c>
      <c r="H4" s="46" t="s">
        <v>2</v>
      </c>
    </row>
    <row r="5" spans="1:8">
      <c r="A5" s="50" t="s">
        <v>3</v>
      </c>
      <c r="B5" s="48"/>
      <c r="C5" s="48"/>
      <c r="D5" s="48"/>
      <c r="E5" s="48"/>
      <c r="F5" s="48"/>
      <c r="G5" s="48"/>
      <c r="H5" s="48"/>
    </row>
    <row r="6" spans="1:8">
      <c r="A6" s="48"/>
      <c r="B6" s="48"/>
      <c r="C6" s="48"/>
      <c r="D6" s="48"/>
      <c r="E6" s="48"/>
      <c r="F6" s="48"/>
      <c r="G6" s="48"/>
      <c r="H6" s="48"/>
    </row>
    <row r="8" spans="1:8" ht="15">
      <c r="A8" s="46" t="s">
        <v>4</v>
      </c>
      <c r="B8" s="46" t="s">
        <v>4</v>
      </c>
      <c r="C8" s="46" t="s">
        <v>4</v>
      </c>
      <c r="D8" s="46" t="s">
        <v>4</v>
      </c>
      <c r="F8" s="46" t="s">
        <v>5</v>
      </c>
      <c r="G8" s="46" t="s">
        <v>5</v>
      </c>
      <c r="H8" s="46" t="s">
        <v>5</v>
      </c>
    </row>
    <row r="9" spans="1:8" ht="15">
      <c r="A9" s="7" t="s">
        <v>6</v>
      </c>
      <c r="B9" t="s">
        <v>7</v>
      </c>
      <c r="F9" s="8" t="s">
        <v>8</v>
      </c>
      <c r="G9" s="2" t="s">
        <v>9</v>
      </c>
    </row>
    <row r="10" spans="1:8" ht="15">
      <c r="A10" s="7" t="s">
        <v>10</v>
      </c>
      <c r="B10" t="s">
        <v>11</v>
      </c>
      <c r="F10" s="8" t="s">
        <v>12</v>
      </c>
      <c r="G10" s="2" t="s">
        <v>13</v>
      </c>
    </row>
    <row r="11" spans="1:8" ht="15">
      <c r="A11" s="7" t="s">
        <v>14</v>
      </c>
      <c r="B11" t="s">
        <v>15</v>
      </c>
      <c r="F11" s="8" t="s">
        <v>16</v>
      </c>
      <c r="G11" s="2" t="s">
        <v>17</v>
      </c>
    </row>
    <row r="12" spans="1:8" ht="15">
      <c r="A12" s="7" t="s">
        <v>18</v>
      </c>
      <c r="B12" t="s">
        <v>19</v>
      </c>
      <c r="F12" s="8" t="s">
        <v>20</v>
      </c>
      <c r="G12" s="3">
        <v>850000</v>
      </c>
    </row>
    <row r="13" spans="1:8" ht="15">
      <c r="A13" s="7" t="s">
        <v>21</v>
      </c>
      <c r="B13" t="s">
        <v>22</v>
      </c>
      <c r="F13" s="8" t="s">
        <v>23</v>
      </c>
      <c r="G13" s="2" t="s">
        <v>24</v>
      </c>
    </row>
    <row r="14" spans="1:8" ht="15">
      <c r="A14" s="7" t="s">
        <v>25</v>
      </c>
      <c r="B14" t="s">
        <v>26</v>
      </c>
    </row>
    <row r="15" spans="1:8" ht="15">
      <c r="A15" s="7" t="s">
        <v>27</v>
      </c>
      <c r="B15" t="s">
        <v>28</v>
      </c>
    </row>
    <row r="17" spans="1:8" ht="15">
      <c r="A17" s="46" t="s">
        <v>29</v>
      </c>
      <c r="B17" s="46" t="s">
        <v>29</v>
      </c>
      <c r="C17" s="46" t="s">
        <v>29</v>
      </c>
      <c r="D17" s="46" t="s">
        <v>29</v>
      </c>
      <c r="E17" s="46" t="s">
        <v>29</v>
      </c>
      <c r="F17" s="46" t="s">
        <v>29</v>
      </c>
      <c r="G17" s="46" t="s">
        <v>29</v>
      </c>
      <c r="H17" s="46" t="s">
        <v>29</v>
      </c>
    </row>
    <row r="18" spans="1:8">
      <c r="A18" s="47" t="s">
        <v>30</v>
      </c>
      <c r="B18" s="48"/>
      <c r="C18" s="48"/>
      <c r="D18" s="48"/>
      <c r="E18" s="48"/>
      <c r="F18" s="48"/>
      <c r="G18" s="48"/>
      <c r="H18" s="48"/>
    </row>
    <row r="19" spans="1:8">
      <c r="A19" s="48"/>
      <c r="B19" s="48"/>
      <c r="C19" s="48"/>
      <c r="D19" s="48"/>
      <c r="E19" s="48"/>
      <c r="F19" s="48"/>
      <c r="G19" s="48"/>
      <c r="H19" s="48"/>
    </row>
    <row r="20" spans="1:8">
      <c r="A20" s="48"/>
      <c r="B20" s="48"/>
      <c r="C20" s="48"/>
      <c r="D20" s="48"/>
      <c r="E20" s="48"/>
      <c r="F20" s="48"/>
      <c r="G20" s="48"/>
      <c r="H20" s="48"/>
    </row>
  </sheetData>
  <mergeCells count="8">
    <mergeCell ref="A17:H17"/>
    <mergeCell ref="A18:H20"/>
    <mergeCell ref="A1:H1"/>
    <mergeCell ref="A2:H2"/>
    <mergeCell ref="A4:H4"/>
    <mergeCell ref="A5:H6"/>
    <mergeCell ref="A8:D8"/>
    <mergeCell ref="F8:H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52"/>
  <sheetViews>
    <sheetView showGridLines="0" showRowColHeaders="0" zoomScale="80" zoomScaleNormal="85" workbookViewId="0">
      <selection activeCell="H55" sqref="H55"/>
    </sheetView>
  </sheetViews>
  <sheetFormatPr defaultRowHeight="14.25"/>
  <cols>
    <col min="1" max="1" width="11.75" customWidth="1"/>
    <col min="2" max="17" width="12" customWidth="1"/>
    <col min="20" max="20" width="8.375" customWidth="1"/>
    <col min="21" max="23" width="1" customWidth="1"/>
  </cols>
  <sheetData>
    <row r="1" spans="1:24" ht="30" customHeight="1">
      <c r="A1" s="78" t="s">
        <v>31</v>
      </c>
      <c r="B1" s="78"/>
      <c r="C1" s="78"/>
      <c r="D1" s="78"/>
      <c r="E1" s="78"/>
      <c r="F1" s="78"/>
      <c r="G1" s="78"/>
      <c r="H1" s="78"/>
      <c r="I1" s="30"/>
      <c r="J1" s="30"/>
      <c r="K1" s="30"/>
      <c r="L1" s="80" t="str">
        <f>"Selected Period: "&amp;TEXT('09_SETTINGS'!$I$8,"dd mmm yyyy")</f>
        <v>Selected Period: 31 Aug 2026</v>
      </c>
      <c r="M1" s="80"/>
      <c r="N1" s="80"/>
      <c r="O1" s="81" t="str">
        <f>'01_START_HERE'!$G$9</f>
        <v>ABC Digital Agency</v>
      </c>
      <c r="P1" s="81"/>
      <c r="Q1" s="81"/>
      <c r="T1" s="39" t="s">
        <v>32</v>
      </c>
      <c r="U1" s="39" t="s">
        <v>33</v>
      </c>
      <c r="V1" s="39" t="s">
        <v>34</v>
      </c>
      <c r="W1" s="39" t="s">
        <v>35</v>
      </c>
    </row>
    <row r="2" spans="1:24" ht="15">
      <c r="A2" s="79" t="s">
        <v>36</v>
      </c>
      <c r="B2" s="79"/>
      <c r="C2" s="79"/>
      <c r="D2" s="79"/>
      <c r="E2" s="79"/>
      <c r="F2" s="79"/>
      <c r="G2" s="79"/>
      <c r="H2" s="79"/>
      <c r="I2" s="30"/>
      <c r="J2" s="30"/>
      <c r="K2" s="30"/>
      <c r="L2" s="30"/>
      <c r="M2" s="30"/>
      <c r="N2" s="30"/>
      <c r="O2" s="30"/>
      <c r="P2" s="30"/>
      <c r="Q2" s="30"/>
      <c r="T2" s="39" t="s">
        <v>37</v>
      </c>
      <c r="U2" s="39">
        <v>240000</v>
      </c>
      <c r="V2" s="39">
        <v>195000</v>
      </c>
      <c r="W2" s="39">
        <v>530000</v>
      </c>
    </row>
    <row r="3" spans="1:24" ht="15">
      <c r="A3" s="30"/>
      <c r="B3" s="30"/>
      <c r="C3" s="30"/>
      <c r="D3" s="30"/>
      <c r="E3" s="30"/>
      <c r="F3" s="30"/>
      <c r="G3" s="30"/>
      <c r="H3" s="30"/>
      <c r="I3" s="30"/>
      <c r="J3" s="30"/>
      <c r="K3" s="30"/>
      <c r="L3" s="30"/>
      <c r="M3" s="30"/>
      <c r="N3" s="30"/>
      <c r="O3" s="30"/>
      <c r="P3" s="30"/>
      <c r="Q3" s="30"/>
      <c r="T3" s="39" t="s">
        <v>38</v>
      </c>
      <c r="U3" s="39">
        <v>155000</v>
      </c>
      <c r="V3" s="39">
        <v>184200</v>
      </c>
      <c r="W3" s="39">
        <v>500800</v>
      </c>
    </row>
    <row r="4" spans="1:24" ht="15">
      <c r="A4" s="31"/>
      <c r="B4" s="31"/>
      <c r="C4" s="29"/>
      <c r="D4" s="29"/>
      <c r="E4" s="29"/>
      <c r="F4" s="29"/>
      <c r="G4" s="29"/>
      <c r="H4" s="29"/>
      <c r="I4" s="29"/>
      <c r="J4" s="29"/>
      <c r="K4" s="29"/>
      <c r="L4" s="29"/>
      <c r="M4" s="29"/>
      <c r="N4" s="29"/>
      <c r="O4" s="29"/>
      <c r="P4" s="29"/>
      <c r="Q4" s="29"/>
      <c r="T4" s="39" t="s">
        <v>39</v>
      </c>
      <c r="U4" s="39">
        <v>155000</v>
      </c>
      <c r="V4" s="39">
        <v>184200</v>
      </c>
      <c r="W4" s="39">
        <v>471600</v>
      </c>
    </row>
    <row r="5" spans="1:24" ht="18" customHeight="1">
      <c r="A5" s="82" t="s">
        <v>40</v>
      </c>
      <c r="B5" s="73"/>
      <c r="C5" s="74" t="s">
        <v>41</v>
      </c>
      <c r="D5" s="75" t="s">
        <v>41</v>
      </c>
      <c r="E5" s="75" t="s">
        <v>41</v>
      </c>
      <c r="F5" s="76" t="s">
        <v>41</v>
      </c>
      <c r="G5" s="74" t="s">
        <v>42</v>
      </c>
      <c r="H5" s="75" t="s">
        <v>42</v>
      </c>
      <c r="I5" s="75" t="s">
        <v>42</v>
      </c>
      <c r="J5" s="76" t="s">
        <v>42</v>
      </c>
      <c r="K5" s="63" t="s">
        <v>43</v>
      </c>
      <c r="L5" s="64" t="s">
        <v>43</v>
      </c>
      <c r="M5" s="64" t="s">
        <v>43</v>
      </c>
      <c r="N5" s="65" t="s">
        <v>43</v>
      </c>
      <c r="O5" s="69" t="s">
        <v>44</v>
      </c>
      <c r="P5" s="70" t="s">
        <v>44</v>
      </c>
      <c r="Q5" s="71" t="s">
        <v>44</v>
      </c>
      <c r="T5" s="39"/>
      <c r="U5" s="39"/>
      <c r="V5" s="39"/>
      <c r="W5" s="39"/>
    </row>
    <row r="6" spans="1:24" ht="24" customHeight="1">
      <c r="A6" s="31"/>
      <c r="B6" s="31"/>
      <c r="C6" s="58">
        <f>'01_START_HERE'!$G$12+SUMIFS('03_TRANSACTIONS'!$I$4:$I$203,'03_TRANSACTIONS'!$C$4:$C$203,"Inflow",'03_TRANSACTIONS'!$B$4:$B$203,"&lt;="&amp;'09_SETTINGS'!$I$8)-SUMIFS('03_TRANSACTIONS'!$I$4:$I$203,'03_TRANSACTIONS'!$C$4:$C$203,"Outflow",'03_TRANSACTIONS'!$B$4:$B$203,"&lt;="&amp;'09_SETTINGS'!$I$8)</f>
        <v>1440000</v>
      </c>
      <c r="D6" s="58"/>
      <c r="E6" s="58"/>
      <c r="F6" s="58"/>
      <c r="G6" s="58">
        <f>'08_ANALYSIS'!$B$4</f>
        <v>240000</v>
      </c>
      <c r="H6" s="58"/>
      <c r="I6" s="58"/>
      <c r="J6" s="58"/>
      <c r="K6" s="58">
        <f>'08_ANALYSIS'!$B$5</f>
        <v>125400</v>
      </c>
      <c r="L6" s="58"/>
      <c r="M6" s="58"/>
      <c r="N6" s="58"/>
      <c r="O6" s="58">
        <f>'08_ANALYSIS'!$B$6</f>
        <v>114600</v>
      </c>
      <c r="P6" s="58"/>
      <c r="Q6" s="58"/>
      <c r="T6" s="39" t="s">
        <v>45</v>
      </c>
      <c r="U6" s="39" t="s">
        <v>46</v>
      </c>
      <c r="V6" s="39"/>
      <c r="W6" s="39"/>
    </row>
    <row r="7" spans="1:24" ht="24" customHeight="1">
      <c r="A7" s="59" t="s">
        <v>47</v>
      </c>
      <c r="B7" s="59"/>
      <c r="C7" s="58"/>
      <c r="D7" s="58"/>
      <c r="E7" s="58"/>
      <c r="F7" s="58"/>
      <c r="G7" s="58"/>
      <c r="H7" s="58"/>
      <c r="I7" s="58"/>
      <c r="J7" s="58"/>
      <c r="K7" s="58"/>
      <c r="L7" s="58"/>
      <c r="M7" s="58"/>
      <c r="N7" s="58"/>
      <c r="O7" s="58"/>
      <c r="P7" s="58"/>
      <c r="Q7" s="58"/>
      <c r="T7" s="39" t="s">
        <v>48</v>
      </c>
      <c r="U7" s="39">
        <v>75000</v>
      </c>
      <c r="V7" s="39"/>
      <c r="W7" s="39"/>
    </row>
    <row r="8" spans="1:24" ht="15.95" customHeight="1">
      <c r="A8" s="59"/>
      <c r="B8" s="59"/>
      <c r="C8" s="57" t="str">
        <f>IF('08_ANALYSIS'!$D$6&gt;=0,"▲ Cash flow improved vs prior month","▼ Cash flow weakened vs prior month")</f>
        <v>▲ Cash flow improved vs prior month</v>
      </c>
      <c r="D8" s="57"/>
      <c r="E8" s="57"/>
      <c r="F8" s="57"/>
      <c r="G8" s="57" t="str">
        <f>IF('08_ANALYSIS'!$D$4&gt;=0,"▲ Higher than prior month","▼ Lower than prior month")</f>
        <v>▲ Higher than prior month</v>
      </c>
      <c r="H8" s="57"/>
      <c r="I8" s="57"/>
      <c r="J8" s="57"/>
      <c r="K8" s="57" t="str">
        <f>IF('08_ANALYSIS'!$D$5&gt;=0,"▲ Higher than prior month","▼ Lower than prior month")</f>
        <v>▲ Higher than prior month</v>
      </c>
      <c r="L8" s="57"/>
      <c r="M8" s="57"/>
      <c r="N8" s="57"/>
      <c r="O8" s="57" t="str">
        <f>IF('08_ANALYSIS'!$B$6&gt;=0,"▲ Healthy positive flow","▼ Negative cash flow")</f>
        <v>▲ Healthy positive flow</v>
      </c>
      <c r="P8" s="57"/>
      <c r="Q8" s="57"/>
      <c r="T8" s="39" t="s">
        <v>49</v>
      </c>
      <c r="U8" s="39">
        <v>25000</v>
      </c>
      <c r="V8" s="39"/>
      <c r="W8" s="39"/>
    </row>
    <row r="9" spans="1:24" ht="15">
      <c r="A9" s="31"/>
      <c r="B9" s="31"/>
      <c r="C9" s="29"/>
      <c r="D9" s="29"/>
      <c r="E9" s="29"/>
      <c r="F9" s="29"/>
      <c r="G9" s="29"/>
      <c r="H9" s="29"/>
      <c r="I9" s="29"/>
      <c r="J9" s="29"/>
      <c r="K9" s="29"/>
      <c r="L9" s="29"/>
      <c r="M9" s="29"/>
      <c r="N9" s="29"/>
      <c r="O9" s="29"/>
      <c r="P9" s="29"/>
      <c r="Q9" s="29"/>
      <c r="T9" s="39" t="s">
        <v>50</v>
      </c>
      <c r="U9" s="39">
        <v>18000</v>
      </c>
      <c r="V9" s="39"/>
      <c r="W9" s="39"/>
    </row>
    <row r="10" spans="1:24" ht="18" customHeight="1">
      <c r="A10" s="77" t="s">
        <v>51</v>
      </c>
      <c r="B10" s="77"/>
      <c r="C10" s="60" t="s">
        <v>52</v>
      </c>
      <c r="D10" s="61" t="s">
        <v>52</v>
      </c>
      <c r="E10" s="61" t="s">
        <v>52</v>
      </c>
      <c r="F10" s="62" t="s">
        <v>52</v>
      </c>
      <c r="G10" s="63" t="s">
        <v>53</v>
      </c>
      <c r="H10" s="64" t="s">
        <v>53</v>
      </c>
      <c r="I10" s="64" t="s">
        <v>53</v>
      </c>
      <c r="J10" s="65" t="s">
        <v>53</v>
      </c>
      <c r="K10" s="66" t="s">
        <v>54</v>
      </c>
      <c r="L10" s="67" t="s">
        <v>54</v>
      </c>
      <c r="M10" s="67" t="s">
        <v>54</v>
      </c>
      <c r="N10" s="68" t="s">
        <v>54</v>
      </c>
      <c r="O10" s="69" t="s">
        <v>55</v>
      </c>
      <c r="P10" s="70" t="s">
        <v>55</v>
      </c>
      <c r="Q10" s="71" t="s">
        <v>55</v>
      </c>
      <c r="T10" s="39" t="s">
        <v>56</v>
      </c>
      <c r="U10" s="39">
        <v>4200</v>
      </c>
      <c r="V10" s="39"/>
      <c r="W10" s="39"/>
    </row>
    <row r="11" spans="1:24" ht="21" customHeight="1">
      <c r="A11" s="77"/>
      <c r="B11" s="77"/>
      <c r="C11" s="58">
        <f>SUM('04_RECEIVABLES'!$G$4:$G$203)</f>
        <v>365000</v>
      </c>
      <c r="D11" s="58"/>
      <c r="E11" s="58"/>
      <c r="F11" s="58"/>
      <c r="G11" s="58">
        <f>SUM('05_PAYABLES'!$F$4:$F$203)</f>
        <v>129200</v>
      </c>
      <c r="H11" s="58"/>
      <c r="I11" s="58"/>
      <c r="J11" s="58"/>
      <c r="K11" s="58">
        <f>SUMIFS('04_RECEIVABLES'!$G$4:$G$203,'04_RECEIVABLES'!$I$4:$I$203,"&gt;0")</f>
        <v>245000</v>
      </c>
      <c r="L11" s="58"/>
      <c r="M11" s="58"/>
      <c r="N11" s="58"/>
      <c r="O11" s="56">
        <f>'07_FORECAST'!$B$14</f>
        <v>11.483253588516746</v>
      </c>
      <c r="P11" s="56"/>
      <c r="Q11" s="56"/>
      <c r="T11" s="39"/>
      <c r="U11" s="39"/>
      <c r="V11" s="39"/>
      <c r="W11" s="39"/>
    </row>
    <row r="12" spans="1:24" ht="20.25" customHeight="1">
      <c r="A12" s="31"/>
      <c r="B12" s="31"/>
      <c r="C12" s="58"/>
      <c r="D12" s="58"/>
      <c r="E12" s="58"/>
      <c r="F12" s="58"/>
      <c r="G12" s="58"/>
      <c r="H12" s="58"/>
      <c r="I12" s="58"/>
      <c r="J12" s="58"/>
      <c r="K12" s="58"/>
      <c r="L12" s="58"/>
      <c r="M12" s="58"/>
      <c r="N12" s="58"/>
      <c r="O12" s="56"/>
      <c r="P12" s="56"/>
      <c r="Q12" s="56"/>
      <c r="S12" s="40"/>
      <c r="T12" s="41" t="s">
        <v>57</v>
      </c>
      <c r="U12" s="41" t="s">
        <v>58</v>
      </c>
      <c r="V12" s="41"/>
      <c r="W12" s="41"/>
      <c r="X12" s="40"/>
    </row>
    <row r="13" spans="1:24" ht="15.95" customHeight="1">
      <c r="A13" s="59" t="s">
        <v>59</v>
      </c>
      <c r="B13" s="59"/>
      <c r="C13" s="57" t="str">
        <f>IF(SUMIFS('04_RECEIVABLES'!$G$4:$G$203,'04_RECEIVABLES'!$I$4:$I$203,"&gt;0")&gt;0,"Collection action required","No overdue balance")</f>
        <v>Collection action required</v>
      </c>
      <c r="D13" s="57"/>
      <c r="E13" s="57"/>
      <c r="F13" s="57"/>
      <c r="G13" s="57" t="str">
        <f>IF(SUM('05_PAYABLES'!$F$4:$F$203)&gt;0,"Review upcoming commitments","No unpaid commitments")</f>
        <v>Review upcoming commitments</v>
      </c>
      <c r="H13" s="57"/>
      <c r="I13" s="57"/>
      <c r="J13" s="57"/>
      <c r="K13" s="57" t="str">
        <f>IF(K11&gt;0,"Priority: collect overdue invoices","No overdue collections")</f>
        <v>Priority: collect overdue invoices</v>
      </c>
      <c r="L13" s="57"/>
      <c r="M13" s="57"/>
      <c r="N13" s="57"/>
      <c r="O13" s="57" t="str">
        <f>IF(O11&lt;3,"Warning: runway below 3 months","Healthy cash cover")</f>
        <v>Healthy cash cover</v>
      </c>
      <c r="P13" s="57"/>
      <c r="Q13" s="57"/>
      <c r="S13" s="40"/>
      <c r="T13" s="41" t="s">
        <v>60</v>
      </c>
      <c r="U13" s="41">
        <v>195000</v>
      </c>
      <c r="V13" s="41"/>
      <c r="W13" s="41"/>
      <c r="X13" s="40"/>
    </row>
    <row r="14" spans="1:24" ht="15">
      <c r="A14" s="59"/>
      <c r="B14" s="59"/>
      <c r="C14" s="29"/>
      <c r="D14" s="29"/>
      <c r="E14" s="29"/>
      <c r="F14" s="29"/>
      <c r="G14" s="29"/>
      <c r="H14" s="29"/>
      <c r="I14" s="29"/>
      <c r="J14" s="29"/>
      <c r="K14" s="29"/>
      <c r="L14" s="29"/>
      <c r="M14" s="29"/>
      <c r="N14" s="29"/>
      <c r="O14" s="29"/>
      <c r="P14" s="29"/>
      <c r="Q14" s="29"/>
      <c r="S14" s="40"/>
      <c r="T14" s="41" t="s">
        <v>61</v>
      </c>
      <c r="U14" s="41">
        <v>0</v>
      </c>
      <c r="V14" s="41"/>
      <c r="W14" s="41"/>
      <c r="X14" s="40"/>
    </row>
    <row r="15" spans="1:24" ht="15">
      <c r="A15" s="31"/>
      <c r="B15" s="31"/>
      <c r="C15" s="53" t="s">
        <v>62</v>
      </c>
      <c r="D15" s="54"/>
      <c r="E15" s="54"/>
      <c r="F15" s="54"/>
      <c r="G15" s="54"/>
      <c r="H15" s="54"/>
      <c r="I15" s="54"/>
      <c r="J15" s="53" t="s">
        <v>63</v>
      </c>
      <c r="K15" s="54"/>
      <c r="L15" s="54"/>
      <c r="M15" s="54"/>
      <c r="N15" s="54"/>
      <c r="O15" s="54"/>
      <c r="P15" s="54"/>
      <c r="Q15" s="54"/>
      <c r="S15" s="40"/>
      <c r="T15" s="41" t="s">
        <v>64</v>
      </c>
      <c r="U15" s="41">
        <v>0</v>
      </c>
      <c r="V15" s="41"/>
      <c r="W15" s="41"/>
      <c r="X15" s="40"/>
    </row>
    <row r="16" spans="1:24" ht="15">
      <c r="A16" s="59" t="s">
        <v>52</v>
      </c>
      <c r="B16" s="59"/>
      <c r="C16" s="29"/>
      <c r="D16" s="29"/>
      <c r="E16" s="29"/>
      <c r="F16" s="29"/>
      <c r="G16" s="29"/>
      <c r="H16" s="29"/>
      <c r="I16" s="29"/>
      <c r="J16" s="29"/>
      <c r="K16" s="29"/>
      <c r="L16" s="29"/>
      <c r="M16" s="29"/>
      <c r="N16" s="29"/>
      <c r="O16" s="29"/>
      <c r="P16" s="29"/>
      <c r="Q16" s="29"/>
      <c r="S16" s="40"/>
      <c r="T16" s="41"/>
      <c r="U16" s="41"/>
      <c r="V16" s="41"/>
      <c r="W16" s="41"/>
      <c r="X16" s="40"/>
    </row>
    <row r="17" spans="1:24" ht="15">
      <c r="A17" s="59"/>
      <c r="B17" s="59"/>
      <c r="C17" s="29"/>
      <c r="D17" s="29"/>
      <c r="E17" s="29"/>
      <c r="F17" s="29"/>
      <c r="G17" s="29"/>
      <c r="H17" s="29"/>
      <c r="I17" s="29"/>
      <c r="J17" s="29"/>
      <c r="K17" s="29"/>
      <c r="L17" s="29"/>
      <c r="M17" s="29"/>
      <c r="N17" s="29"/>
      <c r="O17" s="29"/>
      <c r="P17" s="29"/>
      <c r="Q17" s="29"/>
      <c r="S17" s="40"/>
      <c r="T17" s="41" t="s">
        <v>65</v>
      </c>
      <c r="U17" s="41" t="s">
        <v>66</v>
      </c>
      <c r="V17" s="41" t="s">
        <v>67</v>
      </c>
      <c r="W17" s="41" t="s">
        <v>68</v>
      </c>
      <c r="X17" s="40"/>
    </row>
    <row r="18" spans="1:24" ht="15">
      <c r="A18" s="31"/>
      <c r="B18" s="31"/>
      <c r="C18" s="29"/>
      <c r="D18" s="29"/>
      <c r="E18" s="29"/>
      <c r="F18" s="29"/>
      <c r="G18" s="29"/>
      <c r="H18" s="29"/>
      <c r="I18" s="29"/>
      <c r="J18" s="29"/>
      <c r="K18" s="29"/>
      <c r="L18" s="29"/>
      <c r="M18" s="29"/>
      <c r="N18" s="29"/>
      <c r="O18" s="29"/>
      <c r="P18" s="29"/>
      <c r="Q18" s="29"/>
      <c r="S18" s="40"/>
      <c r="T18" s="41">
        <v>2024</v>
      </c>
      <c r="U18" s="41">
        <v>255000</v>
      </c>
      <c r="V18" s="41">
        <v>86800</v>
      </c>
      <c r="W18" s="41">
        <v>168200</v>
      </c>
      <c r="X18" s="40"/>
    </row>
    <row r="19" spans="1:24" ht="15">
      <c r="A19" s="59" t="s">
        <v>53</v>
      </c>
      <c r="B19" s="59"/>
      <c r="C19" s="29"/>
      <c r="D19" s="29"/>
      <c r="E19" s="29"/>
      <c r="F19" s="29"/>
      <c r="G19" s="29"/>
      <c r="H19" s="29"/>
      <c r="I19" s="29"/>
      <c r="J19" s="29"/>
      <c r="K19" s="29"/>
      <c r="L19" s="29"/>
      <c r="M19" s="29"/>
      <c r="N19" s="29"/>
      <c r="O19" s="29"/>
      <c r="P19" s="29"/>
      <c r="Q19" s="29"/>
      <c r="S19" s="40"/>
      <c r="T19" s="41" t="s">
        <v>69</v>
      </c>
      <c r="U19" s="41">
        <v>447000</v>
      </c>
      <c r="V19" s="41">
        <v>207800</v>
      </c>
      <c r="W19" s="41">
        <v>239200</v>
      </c>
      <c r="X19" s="40"/>
    </row>
    <row r="20" spans="1:24" ht="15">
      <c r="A20" s="59"/>
      <c r="B20" s="59"/>
      <c r="C20" s="29"/>
      <c r="D20" s="29"/>
      <c r="E20" s="29"/>
      <c r="F20" s="29"/>
      <c r="G20" s="29"/>
      <c r="H20" s="29"/>
      <c r="I20" s="29"/>
      <c r="J20" s="29"/>
      <c r="K20" s="29"/>
      <c r="L20" s="29"/>
      <c r="M20" s="29"/>
      <c r="N20" s="29"/>
      <c r="O20" s="29"/>
      <c r="P20" s="29"/>
      <c r="Q20" s="29"/>
      <c r="S20" s="40"/>
      <c r="T20" s="41" t="s">
        <v>70</v>
      </c>
      <c r="U20" s="41">
        <v>500000</v>
      </c>
      <c r="V20" s="41">
        <v>293400</v>
      </c>
      <c r="W20" s="41">
        <v>206600</v>
      </c>
      <c r="X20" s="40"/>
    </row>
    <row r="21" spans="1:24" ht="15">
      <c r="A21" s="31"/>
      <c r="B21" s="31"/>
      <c r="C21" s="29"/>
      <c r="D21" s="29"/>
      <c r="E21" s="29"/>
      <c r="F21" s="29"/>
      <c r="G21" s="29"/>
      <c r="H21" s="29"/>
      <c r="I21" s="29"/>
      <c r="J21" s="29"/>
      <c r="K21" s="29"/>
      <c r="L21" s="29"/>
      <c r="M21" s="29"/>
      <c r="N21" s="29"/>
      <c r="O21" s="29"/>
      <c r="P21" s="29"/>
      <c r="Q21" s="29"/>
      <c r="S21" s="40"/>
      <c r="T21" s="40"/>
      <c r="U21" s="40"/>
      <c r="V21" s="40"/>
      <c r="W21" s="40"/>
      <c r="X21" s="40"/>
    </row>
    <row r="22" spans="1:24" ht="15">
      <c r="A22" s="59" t="s">
        <v>71</v>
      </c>
      <c r="B22" s="59"/>
      <c r="C22" s="29"/>
      <c r="D22" s="29"/>
      <c r="E22" s="29"/>
      <c r="F22" s="29"/>
      <c r="G22" s="29"/>
      <c r="H22" s="29"/>
      <c r="I22" s="29"/>
      <c r="J22" s="29"/>
      <c r="K22" s="29"/>
      <c r="L22" s="29"/>
      <c r="M22" s="29"/>
      <c r="N22" s="29"/>
      <c r="O22" s="29"/>
      <c r="P22" s="29"/>
      <c r="Q22" s="29"/>
      <c r="S22" s="40"/>
      <c r="T22" s="40"/>
      <c r="U22" s="40"/>
      <c r="V22" s="40"/>
      <c r="W22" s="40"/>
      <c r="X22" s="40"/>
    </row>
    <row r="23" spans="1:24" ht="15">
      <c r="A23" s="59"/>
      <c r="B23" s="59"/>
      <c r="C23" s="29"/>
      <c r="D23" s="29"/>
      <c r="E23" s="29"/>
      <c r="F23" s="29"/>
      <c r="G23" s="29"/>
      <c r="H23" s="29"/>
      <c r="I23" s="29"/>
      <c r="J23" s="29"/>
      <c r="K23" s="29"/>
      <c r="L23" s="29"/>
      <c r="M23" s="29"/>
      <c r="N23" s="29"/>
      <c r="O23" s="29"/>
      <c r="P23" s="29"/>
      <c r="Q23" s="29"/>
      <c r="S23" s="40"/>
      <c r="T23" s="40"/>
      <c r="U23" s="40"/>
      <c r="V23" s="40"/>
      <c r="W23" s="40"/>
      <c r="X23" s="40"/>
    </row>
    <row r="24" spans="1:24" ht="15">
      <c r="A24" s="31"/>
      <c r="B24" s="31"/>
      <c r="C24" s="29"/>
      <c r="D24" s="29"/>
      <c r="E24" s="29"/>
      <c r="F24" s="29"/>
      <c r="G24" s="29"/>
      <c r="H24" s="29"/>
      <c r="I24" s="29"/>
      <c r="J24" s="29"/>
      <c r="K24" s="29"/>
      <c r="L24" s="29"/>
      <c r="M24" s="29"/>
      <c r="N24" s="29"/>
      <c r="O24" s="29"/>
      <c r="P24" s="29"/>
      <c r="Q24" s="29"/>
    </row>
    <row r="25" spans="1:24" ht="15">
      <c r="A25" s="59" t="s">
        <v>72</v>
      </c>
      <c r="B25" s="59"/>
      <c r="C25" s="29"/>
      <c r="D25" s="29"/>
      <c r="E25" s="29"/>
      <c r="F25" s="29"/>
      <c r="G25" s="29"/>
      <c r="H25" s="29"/>
      <c r="I25" s="29"/>
      <c r="J25" s="29"/>
      <c r="K25" s="29"/>
      <c r="L25" s="29"/>
      <c r="M25" s="29"/>
      <c r="N25" s="29"/>
      <c r="O25" s="29"/>
      <c r="P25" s="29"/>
      <c r="Q25" s="29"/>
    </row>
    <row r="26" spans="1:24" ht="15">
      <c r="A26" s="59"/>
      <c r="B26" s="59"/>
      <c r="C26" s="29"/>
      <c r="D26" s="29"/>
      <c r="E26" s="29"/>
      <c r="F26" s="29"/>
      <c r="G26" s="29"/>
      <c r="H26" s="29"/>
      <c r="I26" s="29"/>
      <c r="J26" s="29"/>
      <c r="K26" s="29"/>
      <c r="L26" s="29"/>
      <c r="M26" s="29"/>
      <c r="N26" s="29"/>
      <c r="O26" s="29"/>
      <c r="P26" s="29"/>
      <c r="Q26" s="29"/>
    </row>
    <row r="27" spans="1:24" ht="15">
      <c r="A27" s="31"/>
      <c r="B27" s="31"/>
      <c r="C27" s="29"/>
      <c r="D27" s="29"/>
      <c r="E27" s="29"/>
      <c r="F27" s="29"/>
      <c r="G27" s="29"/>
      <c r="H27" s="29"/>
      <c r="I27" s="29"/>
      <c r="J27" s="29"/>
      <c r="K27" s="29"/>
      <c r="L27" s="29"/>
      <c r="M27" s="29"/>
      <c r="N27" s="29"/>
      <c r="O27" s="29"/>
      <c r="P27" s="29"/>
      <c r="Q27" s="29"/>
    </row>
    <row r="28" spans="1:24" ht="15">
      <c r="A28" s="59" t="s">
        <v>73</v>
      </c>
      <c r="B28" s="59"/>
      <c r="C28" s="29"/>
      <c r="D28" s="29"/>
      <c r="E28" s="29"/>
      <c r="F28" s="29"/>
      <c r="G28" s="29"/>
      <c r="H28" s="29"/>
      <c r="I28" s="29"/>
      <c r="J28" s="29"/>
      <c r="K28" s="29"/>
      <c r="L28" s="29"/>
      <c r="M28" s="29"/>
      <c r="N28" s="29"/>
      <c r="O28" s="29"/>
      <c r="P28" s="29"/>
      <c r="Q28" s="29"/>
    </row>
    <row r="29" spans="1:24" ht="15">
      <c r="A29" s="31"/>
      <c r="B29" s="31"/>
      <c r="C29" s="53" t="s">
        <v>74</v>
      </c>
      <c r="D29" s="54"/>
      <c r="E29" s="54"/>
      <c r="F29" s="54"/>
      <c r="G29" s="54"/>
      <c r="H29" s="54"/>
      <c r="I29" s="54"/>
      <c r="J29" s="53" t="s">
        <v>75</v>
      </c>
      <c r="K29" s="54"/>
      <c r="L29" s="54"/>
      <c r="M29" s="54"/>
      <c r="N29" s="54"/>
      <c r="O29" s="54"/>
      <c r="P29" s="54"/>
      <c r="Q29" s="54"/>
    </row>
    <row r="30" spans="1:24" ht="15">
      <c r="A30" s="31"/>
      <c r="B30" s="31"/>
      <c r="J30" s="29"/>
      <c r="K30" s="29"/>
      <c r="L30" s="29"/>
      <c r="M30" s="29"/>
      <c r="N30" s="29"/>
      <c r="O30" s="29"/>
      <c r="P30" s="29"/>
      <c r="Q30" s="29"/>
    </row>
    <row r="31" spans="1:24" ht="15">
      <c r="A31" s="31"/>
      <c r="B31" s="31"/>
    </row>
    <row r="32" spans="1:24" ht="10.5" customHeight="1">
      <c r="A32" s="31"/>
      <c r="B32" s="31"/>
      <c r="C32" s="29"/>
      <c r="D32" s="29"/>
      <c r="E32" s="29"/>
      <c r="F32" s="29"/>
      <c r="G32" s="29"/>
      <c r="H32" s="29"/>
      <c r="I32" s="29"/>
      <c r="J32" s="29"/>
      <c r="K32" s="29"/>
      <c r="L32" s="29"/>
      <c r="M32" s="29"/>
      <c r="N32" s="29"/>
      <c r="O32" s="29"/>
      <c r="P32" s="29"/>
      <c r="Q32" s="29"/>
    </row>
    <row r="33" spans="1:17" ht="15">
      <c r="A33" s="72" t="s">
        <v>76</v>
      </c>
      <c r="B33" s="73"/>
      <c r="C33" s="29"/>
      <c r="D33" s="29"/>
      <c r="E33" s="29"/>
      <c r="F33" s="29"/>
      <c r="G33" s="29"/>
      <c r="H33" s="29"/>
      <c r="I33" s="29"/>
      <c r="J33" s="29"/>
      <c r="K33" s="29"/>
      <c r="L33" s="29"/>
      <c r="M33" s="29"/>
      <c r="N33" s="29"/>
      <c r="O33" s="29"/>
      <c r="P33" s="29"/>
      <c r="Q33" s="29"/>
    </row>
    <row r="34" spans="1:17" ht="15">
      <c r="A34" s="73"/>
      <c r="B34" s="73"/>
      <c r="C34" s="29"/>
      <c r="D34" s="29"/>
      <c r="E34" s="29"/>
      <c r="F34" s="29"/>
      <c r="G34" s="29"/>
      <c r="H34" s="29"/>
      <c r="I34" s="29"/>
      <c r="J34" s="29"/>
      <c r="K34" s="29"/>
      <c r="L34" s="29"/>
      <c r="M34" s="29"/>
      <c r="N34" s="29"/>
      <c r="O34" s="29"/>
      <c r="P34" s="29"/>
      <c r="Q34" s="29"/>
    </row>
    <row r="35" spans="1:17" ht="15">
      <c r="A35" s="73"/>
      <c r="B35" s="73"/>
      <c r="C35" s="29"/>
      <c r="D35" s="29"/>
      <c r="E35" s="29"/>
      <c r="F35" s="29"/>
      <c r="G35" s="29"/>
      <c r="H35" s="29"/>
      <c r="I35" s="29"/>
      <c r="J35" s="29"/>
      <c r="K35" s="29"/>
      <c r="L35" s="29"/>
      <c r="M35" s="29"/>
      <c r="N35" s="29"/>
      <c r="O35" s="29"/>
      <c r="P35" s="29"/>
      <c r="Q35" s="29"/>
    </row>
    <row r="36" spans="1:17" ht="15">
      <c r="A36" s="73"/>
      <c r="B36" s="73"/>
      <c r="C36" s="29"/>
      <c r="D36" s="29"/>
      <c r="E36" s="29"/>
      <c r="F36" s="29"/>
      <c r="G36" s="29"/>
      <c r="H36" s="29"/>
      <c r="I36" s="29"/>
      <c r="J36" s="29"/>
      <c r="K36" s="29"/>
      <c r="L36" s="29"/>
      <c r="M36" s="29"/>
      <c r="N36" s="29"/>
      <c r="O36" s="29"/>
      <c r="P36" s="29"/>
      <c r="Q36" s="29"/>
    </row>
    <row r="37" spans="1:17" ht="15">
      <c r="A37" s="31"/>
      <c r="B37" s="31"/>
      <c r="C37" s="29"/>
      <c r="D37" s="29"/>
      <c r="E37" s="29"/>
      <c r="F37" s="29"/>
      <c r="G37" s="29"/>
      <c r="H37" s="29"/>
      <c r="I37" s="29"/>
      <c r="J37" s="29"/>
      <c r="K37" s="29"/>
      <c r="L37" s="29"/>
      <c r="M37" s="29"/>
      <c r="N37" s="29"/>
      <c r="O37" s="29"/>
      <c r="P37" s="29"/>
      <c r="Q37" s="29"/>
    </row>
    <row r="38" spans="1:17" ht="15">
      <c r="A38" s="31"/>
      <c r="B38" s="31"/>
      <c r="C38" s="29"/>
      <c r="D38" s="29"/>
      <c r="E38" s="29"/>
      <c r="F38" s="29"/>
      <c r="G38" s="29"/>
      <c r="H38" s="29"/>
      <c r="I38" s="29"/>
      <c r="J38" s="29"/>
      <c r="K38" s="29"/>
      <c r="L38" s="29"/>
      <c r="M38" s="29"/>
      <c r="N38" s="29"/>
      <c r="O38" s="29"/>
      <c r="P38" s="29"/>
      <c r="Q38" s="29"/>
    </row>
    <row r="39" spans="1:17" ht="15">
      <c r="A39" s="31"/>
      <c r="B39" s="31"/>
      <c r="C39" s="29"/>
      <c r="D39" s="29"/>
      <c r="E39" s="29"/>
      <c r="F39" s="29"/>
      <c r="G39" s="29"/>
      <c r="H39" s="29"/>
      <c r="I39" s="29"/>
      <c r="J39" s="29"/>
      <c r="K39" s="29"/>
      <c r="L39" s="29"/>
      <c r="M39" s="29"/>
      <c r="N39" s="29"/>
      <c r="O39" s="29"/>
      <c r="P39" s="29"/>
      <c r="Q39" s="29"/>
    </row>
    <row r="40" spans="1:17" ht="15">
      <c r="A40" s="31"/>
      <c r="B40" s="31"/>
      <c r="C40" s="29"/>
      <c r="D40" s="29"/>
      <c r="E40" s="29"/>
      <c r="F40" s="29"/>
      <c r="G40" s="29"/>
      <c r="H40" s="29"/>
      <c r="I40" s="29"/>
      <c r="J40" s="29"/>
      <c r="K40" s="29"/>
      <c r="L40" s="29"/>
      <c r="M40" s="29"/>
      <c r="N40" s="29"/>
      <c r="O40" s="29"/>
      <c r="P40" s="29"/>
      <c r="Q40" s="29"/>
    </row>
    <row r="41" spans="1:17" ht="15">
      <c r="A41" s="31"/>
      <c r="B41" s="31"/>
      <c r="C41" s="29"/>
      <c r="D41" s="29"/>
      <c r="E41" s="29"/>
      <c r="F41" s="29"/>
      <c r="G41" s="29"/>
      <c r="H41" s="29"/>
      <c r="I41" s="29"/>
      <c r="J41" s="29"/>
      <c r="K41" s="29"/>
      <c r="L41" s="29"/>
      <c r="M41" s="29"/>
      <c r="N41" s="29"/>
      <c r="O41" s="29"/>
      <c r="P41" s="29"/>
      <c r="Q41" s="29"/>
    </row>
    <row r="42" spans="1:17" ht="15">
      <c r="A42" s="31"/>
      <c r="B42" s="31"/>
      <c r="C42" s="29"/>
      <c r="D42" s="29"/>
      <c r="E42" s="29"/>
      <c r="F42" s="29"/>
      <c r="G42" s="29"/>
      <c r="H42" s="29"/>
      <c r="I42" s="29"/>
      <c r="J42" s="29"/>
      <c r="K42" s="29"/>
      <c r="L42" s="29"/>
      <c r="M42" s="29"/>
      <c r="N42" s="29"/>
      <c r="O42" s="29"/>
      <c r="P42" s="29"/>
      <c r="Q42" s="29"/>
    </row>
    <row r="43" spans="1:17" ht="15">
      <c r="A43" s="31"/>
      <c r="B43" s="31"/>
      <c r="C43" s="29"/>
      <c r="D43" s="29"/>
      <c r="E43" s="29"/>
      <c r="F43" s="29"/>
      <c r="G43" s="29"/>
      <c r="H43" s="29"/>
      <c r="I43" s="29"/>
      <c r="J43" s="29"/>
      <c r="K43" s="29"/>
      <c r="L43" s="29"/>
      <c r="M43" s="29"/>
      <c r="N43" s="29"/>
      <c r="O43" s="29"/>
      <c r="P43" s="29"/>
      <c r="Q43" s="29"/>
    </row>
    <row r="44" spans="1:17" ht="15">
      <c r="A44" s="31"/>
      <c r="B44" s="31"/>
      <c r="C44" s="29"/>
      <c r="D44" s="29"/>
      <c r="E44" s="29"/>
      <c r="F44" s="29"/>
      <c r="G44" s="29"/>
      <c r="H44" s="29"/>
      <c r="I44" s="29"/>
      <c r="J44" s="29"/>
      <c r="K44" s="29"/>
      <c r="L44" s="29"/>
      <c r="M44" s="29"/>
      <c r="N44" s="29"/>
      <c r="O44" s="29"/>
      <c r="P44" s="29"/>
      <c r="Q44" s="29"/>
    </row>
    <row r="45" spans="1:17" ht="15">
      <c r="A45" s="31"/>
      <c r="B45" s="31"/>
      <c r="C45" s="55" t="s">
        <v>77</v>
      </c>
      <c r="D45" s="54"/>
      <c r="E45" s="54"/>
      <c r="F45" s="54"/>
      <c r="G45" s="54"/>
      <c r="H45" s="54"/>
      <c r="I45" s="54"/>
      <c r="J45" s="54"/>
      <c r="K45" s="54"/>
      <c r="L45" s="54"/>
      <c r="M45" s="54"/>
      <c r="N45" s="54"/>
      <c r="O45" s="54"/>
      <c r="P45" s="54"/>
      <c r="Q45" s="54"/>
    </row>
    <row r="46" spans="1:17" ht="15">
      <c r="A46" s="31"/>
      <c r="B46" s="31"/>
      <c r="C46" s="32"/>
      <c r="D46" s="33"/>
      <c r="E46" s="33"/>
      <c r="F46" s="33"/>
      <c r="G46" s="33"/>
      <c r="H46" s="33"/>
      <c r="I46" s="33"/>
      <c r="J46" s="33"/>
      <c r="K46" s="33"/>
      <c r="L46" s="33"/>
      <c r="M46" s="33"/>
      <c r="N46" s="33"/>
      <c r="O46" s="33"/>
      <c r="P46" s="33"/>
      <c r="Q46" s="34"/>
    </row>
    <row r="47" spans="1:17" ht="15">
      <c r="A47" s="31"/>
      <c r="B47" s="31"/>
      <c r="C47" s="38" t="s">
        <v>6</v>
      </c>
      <c r="D47" s="51" t="str">
        <f>IF(SUMIFS('04_RECEIVABLES'!$G$4:$G$203,'04_RECEIVABLES'!$I$4:$I$203,"&gt;0")&gt;0,"Collect overdue receivables before discretionary spending.","No overdue customer collections require intervention.")</f>
        <v>Collect overdue receivables before discretionary spending.</v>
      </c>
      <c r="E47" s="51"/>
      <c r="F47" s="51"/>
      <c r="G47" s="51"/>
      <c r="H47" s="51"/>
      <c r="I47" s="51"/>
      <c r="J47" s="51"/>
      <c r="K47" s="51"/>
      <c r="L47" s="51"/>
      <c r="M47" s="51"/>
      <c r="N47" s="51"/>
      <c r="O47" s="51"/>
      <c r="P47" s="51"/>
      <c r="Q47" s="52"/>
    </row>
    <row r="48" spans="1:17" ht="15">
      <c r="A48" s="31"/>
      <c r="B48" s="31"/>
      <c r="C48" s="38" t="s">
        <v>10</v>
      </c>
      <c r="D48" s="51" t="s">
        <v>78</v>
      </c>
      <c r="E48" s="51"/>
      <c r="F48" s="51"/>
      <c r="G48" s="51"/>
      <c r="H48" s="51"/>
      <c r="I48" s="51"/>
      <c r="J48" s="51"/>
      <c r="K48" s="51"/>
      <c r="L48" s="51"/>
      <c r="M48" s="51"/>
      <c r="N48" s="51"/>
      <c r="O48" s="51"/>
      <c r="P48" s="51"/>
      <c r="Q48" s="52"/>
    </row>
    <row r="49" spans="1:17" ht="15">
      <c r="A49" s="31"/>
      <c r="B49" s="31"/>
      <c r="C49" s="38" t="s">
        <v>14</v>
      </c>
      <c r="D49" s="51" t="str">
        <f>IF('07_FORECAST'!$B$12&lt;'07_FORECAST'!$B$11,"Projected cash drops below the safety threshold — reduce or defer non-essential spend.","Projected cash remains above the safety threshold.")</f>
        <v>Projected cash remains above the safety threshold.</v>
      </c>
      <c r="E49" s="51"/>
      <c r="F49" s="51"/>
      <c r="G49" s="51"/>
      <c r="H49" s="51"/>
      <c r="I49" s="51"/>
      <c r="J49" s="51"/>
      <c r="K49" s="51"/>
      <c r="L49" s="51"/>
      <c r="M49" s="51"/>
      <c r="N49" s="51"/>
      <c r="O49" s="51"/>
      <c r="P49" s="51"/>
      <c r="Q49" s="52"/>
    </row>
    <row r="50" spans="1:17" ht="15">
      <c r="A50" s="31"/>
      <c r="B50" s="31"/>
      <c r="C50" s="38" t="s">
        <v>18</v>
      </c>
      <c r="D50" s="51" t="str">
        <f>IF('08_ANALYSIS'!$D$5&gt;'09_SETTINGS'!$I$6,"Review expense categories with material month-on-month growth.","No material expense growth alert this month.")</f>
        <v>No material expense growth alert this month.</v>
      </c>
      <c r="E50" s="51"/>
      <c r="F50" s="51"/>
      <c r="G50" s="51"/>
      <c r="H50" s="51"/>
      <c r="I50" s="51"/>
      <c r="J50" s="51"/>
      <c r="K50" s="51"/>
      <c r="L50" s="51"/>
      <c r="M50" s="51"/>
      <c r="N50" s="51"/>
      <c r="O50" s="51"/>
      <c r="P50" s="51"/>
      <c r="Q50" s="52"/>
    </row>
    <row r="51" spans="1:17" ht="15">
      <c r="A51" s="31"/>
      <c r="B51" s="31"/>
      <c r="C51" s="35"/>
      <c r="D51" s="36"/>
      <c r="E51" s="36"/>
      <c r="F51" s="36"/>
      <c r="G51" s="36"/>
      <c r="H51" s="36"/>
      <c r="I51" s="36"/>
      <c r="J51" s="36"/>
      <c r="K51" s="36"/>
      <c r="L51" s="36"/>
      <c r="M51" s="36"/>
      <c r="N51" s="36"/>
      <c r="O51" s="36"/>
      <c r="P51" s="36"/>
      <c r="Q51" s="37"/>
    </row>
    <row r="52" spans="1:17" ht="15">
      <c r="A52" s="31"/>
      <c r="B52" s="31"/>
      <c r="C52" s="29"/>
      <c r="D52" s="29"/>
      <c r="E52" s="29"/>
      <c r="F52" s="29"/>
      <c r="G52" s="29"/>
      <c r="H52" s="29"/>
      <c r="I52" s="29"/>
      <c r="J52" s="29"/>
      <c r="K52" s="29"/>
      <c r="L52" s="29"/>
      <c r="M52" s="29"/>
      <c r="N52" s="29"/>
      <c r="O52" s="29"/>
      <c r="P52" s="29"/>
      <c r="Q52" s="29"/>
    </row>
  </sheetData>
  <mergeCells count="47">
    <mergeCell ref="A1:H1"/>
    <mergeCell ref="A2:H2"/>
    <mergeCell ref="L1:N1"/>
    <mergeCell ref="O1:Q1"/>
    <mergeCell ref="A5:B5"/>
    <mergeCell ref="G5:J5"/>
    <mergeCell ref="O5:Q5"/>
    <mergeCell ref="K5:N5"/>
    <mergeCell ref="A28:B28"/>
    <mergeCell ref="A33:B36"/>
    <mergeCell ref="C5:F5"/>
    <mergeCell ref="C6:F7"/>
    <mergeCell ref="C8:F8"/>
    <mergeCell ref="C15:I15"/>
    <mergeCell ref="A7:B8"/>
    <mergeCell ref="A10:B11"/>
    <mergeCell ref="A13:B14"/>
    <mergeCell ref="A16:B17"/>
    <mergeCell ref="A19:B20"/>
    <mergeCell ref="A22:B23"/>
    <mergeCell ref="A25:B26"/>
    <mergeCell ref="O6:Q7"/>
    <mergeCell ref="O8:Q8"/>
    <mergeCell ref="C10:F10"/>
    <mergeCell ref="C11:F12"/>
    <mergeCell ref="C13:F13"/>
    <mergeCell ref="G10:J10"/>
    <mergeCell ref="G11:J12"/>
    <mergeCell ref="G13:J13"/>
    <mergeCell ref="K10:N10"/>
    <mergeCell ref="K11:N12"/>
    <mergeCell ref="K13:N13"/>
    <mergeCell ref="O10:Q10"/>
    <mergeCell ref="O11:Q12"/>
    <mergeCell ref="O13:Q13"/>
    <mergeCell ref="G6:J7"/>
    <mergeCell ref="G8:J8"/>
    <mergeCell ref="D48:Q48"/>
    <mergeCell ref="K6:N7"/>
    <mergeCell ref="K8:N8"/>
    <mergeCell ref="D49:Q49"/>
    <mergeCell ref="D50:Q50"/>
    <mergeCell ref="J15:Q15"/>
    <mergeCell ref="C29:I29"/>
    <mergeCell ref="J29:Q29"/>
    <mergeCell ref="C45:Q45"/>
    <mergeCell ref="D47:Q4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03"/>
  <sheetViews>
    <sheetView showGridLines="0" topLeftCell="H1" workbookViewId="0">
      <selection activeCell="P15" sqref="P15"/>
    </sheetView>
  </sheetViews>
  <sheetFormatPr defaultRowHeight="14.25"/>
  <cols>
    <col min="1" max="1" width="15" customWidth="1"/>
    <col min="2" max="2" width="13" customWidth="1"/>
    <col min="3" max="3" width="12" customWidth="1"/>
    <col min="4" max="4" width="16" customWidth="1"/>
    <col min="5" max="5" width="15" customWidth="1"/>
    <col min="6" max="6" width="28" customWidth="1"/>
    <col min="7" max="7" width="15" customWidth="1"/>
    <col min="8" max="8" width="22" customWidth="1"/>
    <col min="9" max="9" width="15" customWidth="1"/>
    <col min="10" max="10" width="12" customWidth="1"/>
    <col min="11" max="11" width="17" customWidth="1"/>
    <col min="12" max="12" width="22" customWidth="1"/>
    <col min="13" max="13" width="12" customWidth="1"/>
  </cols>
  <sheetData>
    <row r="1" spans="1:13" ht="30" customHeight="1">
      <c r="A1" s="45" t="s">
        <v>79</v>
      </c>
      <c r="B1" s="45" t="s">
        <v>79</v>
      </c>
      <c r="C1" s="45" t="s">
        <v>79</v>
      </c>
      <c r="D1" s="45" t="s">
        <v>79</v>
      </c>
      <c r="E1" s="45" t="s">
        <v>79</v>
      </c>
      <c r="F1" s="45" t="s">
        <v>79</v>
      </c>
      <c r="G1" s="45" t="s">
        <v>79</v>
      </c>
      <c r="H1" s="45" t="s">
        <v>79</v>
      </c>
      <c r="I1" s="45" t="s">
        <v>79</v>
      </c>
      <c r="J1" s="45" t="s">
        <v>79</v>
      </c>
      <c r="K1" s="45" t="s">
        <v>79</v>
      </c>
      <c r="L1" s="45" t="s">
        <v>79</v>
      </c>
      <c r="M1" s="45" t="s">
        <v>79</v>
      </c>
    </row>
    <row r="3" spans="1:13" ht="15">
      <c r="A3" s="1" t="s">
        <v>80</v>
      </c>
      <c r="B3" s="1" t="s">
        <v>81</v>
      </c>
      <c r="C3" s="1" t="s">
        <v>82</v>
      </c>
      <c r="D3" s="1" t="s">
        <v>83</v>
      </c>
      <c r="E3" s="1" t="s">
        <v>84</v>
      </c>
      <c r="F3" s="1" t="s">
        <v>85</v>
      </c>
      <c r="G3" s="1" t="s">
        <v>86</v>
      </c>
      <c r="H3" s="1" t="s">
        <v>87</v>
      </c>
      <c r="I3" s="1" t="s">
        <v>46</v>
      </c>
      <c r="J3" s="1" t="s">
        <v>88</v>
      </c>
      <c r="K3" s="1" t="s">
        <v>89</v>
      </c>
      <c r="L3" s="1" t="s">
        <v>90</v>
      </c>
      <c r="M3" s="1" t="s">
        <v>32</v>
      </c>
    </row>
    <row r="4" spans="1:13">
      <c r="A4" t="s">
        <v>91</v>
      </c>
      <c r="B4" s="9">
        <v>46236</v>
      </c>
      <c r="C4" t="s">
        <v>33</v>
      </c>
      <c r="D4" t="s">
        <v>92</v>
      </c>
      <c r="E4" t="s">
        <v>93</v>
      </c>
      <c r="F4" t="s">
        <v>94</v>
      </c>
      <c r="G4" t="s">
        <v>95</v>
      </c>
      <c r="H4" t="s">
        <v>96</v>
      </c>
      <c r="I4" s="10">
        <v>120000</v>
      </c>
      <c r="J4" t="s">
        <v>97</v>
      </c>
      <c r="K4" t="s">
        <v>98</v>
      </c>
      <c r="L4" t="s">
        <v>99</v>
      </c>
      <c r="M4" t="str">
        <f>IF(B4="","",TEXT(B4,"mmm-yy"))</f>
        <v>Aug-26</v>
      </c>
    </row>
    <row r="5" spans="1:13">
      <c r="A5" t="s">
        <v>100</v>
      </c>
      <c r="B5" s="9">
        <v>46237</v>
      </c>
      <c r="C5" t="s">
        <v>34</v>
      </c>
      <c r="D5" t="s">
        <v>48</v>
      </c>
      <c r="E5" t="s">
        <v>101</v>
      </c>
      <c r="F5" t="s">
        <v>102</v>
      </c>
      <c r="G5" t="s">
        <v>95</v>
      </c>
      <c r="H5" t="s">
        <v>101</v>
      </c>
      <c r="I5" s="10">
        <v>75000</v>
      </c>
      <c r="J5" t="s">
        <v>103</v>
      </c>
      <c r="K5" t="s">
        <v>98</v>
      </c>
      <c r="L5" t="s">
        <v>104</v>
      </c>
      <c r="M5" t="str">
        <f t="shared" ref="M5:M68" si="0">IF(B5="","",TEXT(B5,"mmm-yy"))</f>
        <v>Aug-26</v>
      </c>
    </row>
    <row r="6" spans="1:13">
      <c r="A6" t="s">
        <v>105</v>
      </c>
      <c r="B6" s="9">
        <v>46239</v>
      </c>
      <c r="C6" t="s">
        <v>34</v>
      </c>
      <c r="D6" t="s">
        <v>56</v>
      </c>
      <c r="E6" t="s">
        <v>106</v>
      </c>
      <c r="F6" t="s">
        <v>107</v>
      </c>
      <c r="G6" t="s">
        <v>95</v>
      </c>
      <c r="H6" t="s">
        <v>108</v>
      </c>
      <c r="I6" s="10">
        <v>4200</v>
      </c>
      <c r="J6" t="s">
        <v>103</v>
      </c>
      <c r="K6" t="s">
        <v>109</v>
      </c>
      <c r="M6" t="str">
        <f t="shared" si="0"/>
        <v>Aug-26</v>
      </c>
    </row>
    <row r="7" spans="1:13">
      <c r="A7" t="s">
        <v>110</v>
      </c>
      <c r="B7" s="9">
        <v>46242</v>
      </c>
      <c r="C7" t="s">
        <v>33</v>
      </c>
      <c r="D7" t="s">
        <v>111</v>
      </c>
      <c r="E7" t="s">
        <v>112</v>
      </c>
      <c r="F7" t="s">
        <v>113</v>
      </c>
      <c r="G7" t="s">
        <v>114</v>
      </c>
      <c r="H7" t="s">
        <v>115</v>
      </c>
      <c r="I7" s="10">
        <v>85000</v>
      </c>
      <c r="J7" t="s">
        <v>97</v>
      </c>
      <c r="K7" t="s">
        <v>114</v>
      </c>
      <c r="M7" t="str">
        <f t="shared" si="0"/>
        <v>Aug-26</v>
      </c>
    </row>
    <row r="8" spans="1:13">
      <c r="A8" t="s">
        <v>116</v>
      </c>
      <c r="B8" s="9">
        <v>46243</v>
      </c>
      <c r="C8" t="s">
        <v>34</v>
      </c>
      <c r="D8" t="s">
        <v>50</v>
      </c>
      <c r="E8" t="s">
        <v>117</v>
      </c>
      <c r="F8" t="s">
        <v>118</v>
      </c>
      <c r="G8" t="s">
        <v>95</v>
      </c>
      <c r="H8" t="s">
        <v>119</v>
      </c>
      <c r="I8" s="10">
        <v>18000</v>
      </c>
      <c r="J8" t="s">
        <v>103</v>
      </c>
      <c r="K8" t="s">
        <v>109</v>
      </c>
      <c r="M8" t="str">
        <f t="shared" si="0"/>
        <v>Aug-26</v>
      </c>
    </row>
    <row r="9" spans="1:13">
      <c r="A9" t="s">
        <v>120</v>
      </c>
      <c r="B9" s="9">
        <v>46244</v>
      </c>
      <c r="C9" t="s">
        <v>34</v>
      </c>
      <c r="D9" t="s">
        <v>49</v>
      </c>
      <c r="E9" t="s">
        <v>121</v>
      </c>
      <c r="F9" t="s">
        <v>122</v>
      </c>
      <c r="G9" t="s">
        <v>95</v>
      </c>
      <c r="H9" t="s">
        <v>123</v>
      </c>
      <c r="I9" s="10">
        <v>25000</v>
      </c>
      <c r="J9" t="s">
        <v>103</v>
      </c>
      <c r="K9" t="s">
        <v>98</v>
      </c>
      <c r="M9" t="str">
        <f t="shared" si="0"/>
        <v>Aug-26</v>
      </c>
    </row>
    <row r="10" spans="1:13">
      <c r="A10" t="s">
        <v>124</v>
      </c>
      <c r="B10" s="9">
        <v>46246</v>
      </c>
      <c r="C10" t="s">
        <v>33</v>
      </c>
      <c r="D10" t="s">
        <v>92</v>
      </c>
      <c r="E10" t="s">
        <v>125</v>
      </c>
      <c r="F10" t="s">
        <v>126</v>
      </c>
      <c r="G10" t="s">
        <v>95</v>
      </c>
      <c r="H10" t="s">
        <v>127</v>
      </c>
      <c r="I10" s="10">
        <v>35000</v>
      </c>
      <c r="J10" t="s">
        <v>97</v>
      </c>
      <c r="K10" t="s">
        <v>98</v>
      </c>
      <c r="M10" t="str">
        <f t="shared" si="0"/>
        <v>Aug-26</v>
      </c>
    </row>
    <row r="11" spans="1:13">
      <c r="A11" t="s">
        <v>128</v>
      </c>
      <c r="B11" s="9">
        <v>46249</v>
      </c>
      <c r="C11" t="s">
        <v>34</v>
      </c>
      <c r="D11" t="s">
        <v>129</v>
      </c>
      <c r="E11" t="s">
        <v>130</v>
      </c>
      <c r="F11" t="s">
        <v>131</v>
      </c>
      <c r="G11" t="s">
        <v>114</v>
      </c>
      <c r="H11" t="s">
        <v>132</v>
      </c>
      <c r="I11" s="10">
        <v>3200</v>
      </c>
      <c r="J11" t="s">
        <v>103</v>
      </c>
      <c r="K11" t="s">
        <v>114</v>
      </c>
      <c r="M11" t="str">
        <f t="shared" si="0"/>
        <v>Aug-26</v>
      </c>
    </row>
    <row r="12" spans="1:13">
      <c r="A12" t="s">
        <v>133</v>
      </c>
      <c r="B12" s="9">
        <v>46206</v>
      </c>
      <c r="C12" t="s">
        <v>33</v>
      </c>
      <c r="D12" t="s">
        <v>92</v>
      </c>
      <c r="E12" t="s">
        <v>93</v>
      </c>
      <c r="F12" t="s">
        <v>134</v>
      </c>
      <c r="G12" t="s">
        <v>95</v>
      </c>
      <c r="H12" t="s">
        <v>96</v>
      </c>
      <c r="I12" s="10">
        <v>115000</v>
      </c>
      <c r="J12" t="s">
        <v>97</v>
      </c>
      <c r="K12" t="s">
        <v>98</v>
      </c>
      <c r="M12" t="str">
        <f t="shared" si="0"/>
        <v>Jul-26</v>
      </c>
    </row>
    <row r="13" spans="1:13">
      <c r="A13" t="s">
        <v>135</v>
      </c>
      <c r="B13" s="9">
        <v>46208</v>
      </c>
      <c r="C13" t="s">
        <v>34</v>
      </c>
      <c r="D13" t="s">
        <v>48</v>
      </c>
      <c r="E13" t="s">
        <v>101</v>
      </c>
      <c r="F13" t="s">
        <v>102</v>
      </c>
      <c r="G13" t="s">
        <v>95</v>
      </c>
      <c r="H13" t="s">
        <v>101</v>
      </c>
      <c r="I13" s="10">
        <v>72000</v>
      </c>
      <c r="J13" t="s">
        <v>103</v>
      </c>
      <c r="K13" t="s">
        <v>98</v>
      </c>
      <c r="M13" t="str">
        <f t="shared" si="0"/>
        <v>Jul-26</v>
      </c>
    </row>
    <row r="14" spans="1:13">
      <c r="A14" t="s">
        <v>136</v>
      </c>
      <c r="B14" s="9">
        <v>46211</v>
      </c>
      <c r="C14" t="s">
        <v>34</v>
      </c>
      <c r="D14" t="s">
        <v>50</v>
      </c>
      <c r="E14" t="s">
        <v>117</v>
      </c>
      <c r="F14" t="s">
        <v>118</v>
      </c>
      <c r="G14" t="s">
        <v>95</v>
      </c>
      <c r="H14" t="s">
        <v>119</v>
      </c>
      <c r="I14" s="10">
        <v>12000</v>
      </c>
      <c r="J14" t="s">
        <v>103</v>
      </c>
      <c r="K14" t="s">
        <v>109</v>
      </c>
      <c r="M14" t="str">
        <f t="shared" si="0"/>
        <v>Jul-26</v>
      </c>
    </row>
    <row r="15" spans="1:13">
      <c r="A15" t="s">
        <v>137</v>
      </c>
      <c r="B15" s="9">
        <v>46213</v>
      </c>
      <c r="C15" t="s">
        <v>34</v>
      </c>
      <c r="D15" t="s">
        <v>49</v>
      </c>
      <c r="E15" t="s">
        <v>121</v>
      </c>
      <c r="F15" t="s">
        <v>122</v>
      </c>
      <c r="G15" t="s">
        <v>95</v>
      </c>
      <c r="H15" t="s">
        <v>123</v>
      </c>
      <c r="I15" s="10">
        <v>25000</v>
      </c>
      <c r="J15" t="s">
        <v>103</v>
      </c>
      <c r="K15" t="s">
        <v>98</v>
      </c>
      <c r="M15" t="str">
        <f t="shared" si="0"/>
        <v>Jul-26</v>
      </c>
    </row>
    <row r="16" spans="1:13">
      <c r="A16" s="11" t="s">
        <v>138</v>
      </c>
      <c r="B16" s="12">
        <v>45296</v>
      </c>
      <c r="C16" s="13" t="s">
        <v>33</v>
      </c>
      <c r="D16" s="13" t="s">
        <v>92</v>
      </c>
      <c r="E16" s="13" t="s">
        <v>93</v>
      </c>
      <c r="F16" s="13" t="s">
        <v>139</v>
      </c>
      <c r="G16" s="13" t="s">
        <v>95</v>
      </c>
      <c r="H16" s="13" t="s">
        <v>96</v>
      </c>
      <c r="I16" s="14">
        <v>85000</v>
      </c>
      <c r="J16" s="13" t="s">
        <v>97</v>
      </c>
      <c r="K16" s="13" t="s">
        <v>98</v>
      </c>
      <c r="L16" s="13" t="s">
        <v>140</v>
      </c>
      <c r="M16" t="str">
        <f t="shared" si="0"/>
        <v>Jan-24</v>
      </c>
    </row>
    <row r="17" spans="1:13">
      <c r="A17" s="15" t="s">
        <v>141</v>
      </c>
      <c r="B17" s="16">
        <v>45299</v>
      </c>
      <c r="C17" s="17" t="s">
        <v>34</v>
      </c>
      <c r="D17" s="17" t="s">
        <v>48</v>
      </c>
      <c r="E17" s="17" t="s">
        <v>101</v>
      </c>
      <c r="F17" s="17" t="s">
        <v>102</v>
      </c>
      <c r="G17" s="17" t="s">
        <v>95</v>
      </c>
      <c r="H17" s="17" t="s">
        <v>101</v>
      </c>
      <c r="I17" s="18">
        <v>48000</v>
      </c>
      <c r="J17" s="17" t="s">
        <v>103</v>
      </c>
      <c r="K17" s="17" t="s">
        <v>98</v>
      </c>
      <c r="L17" s="17" t="s">
        <v>140</v>
      </c>
      <c r="M17" t="str">
        <f t="shared" si="0"/>
        <v>Jan-24</v>
      </c>
    </row>
    <row r="18" spans="1:13">
      <c r="A18" s="15" t="s">
        <v>142</v>
      </c>
      <c r="B18" s="16">
        <v>45301</v>
      </c>
      <c r="C18" s="17" t="s">
        <v>34</v>
      </c>
      <c r="D18" s="17" t="s">
        <v>49</v>
      </c>
      <c r="E18" s="17" t="s">
        <v>121</v>
      </c>
      <c r="F18" s="17" t="s">
        <v>122</v>
      </c>
      <c r="G18" s="17" t="s">
        <v>95</v>
      </c>
      <c r="H18" s="17" t="s">
        <v>123</v>
      </c>
      <c r="I18" s="18">
        <v>18000</v>
      </c>
      <c r="J18" s="17" t="s">
        <v>103</v>
      </c>
      <c r="K18" s="17" t="s">
        <v>98</v>
      </c>
      <c r="L18" s="17" t="s">
        <v>140</v>
      </c>
      <c r="M18" t="str">
        <f t="shared" si="0"/>
        <v>Jan-24</v>
      </c>
    </row>
    <row r="19" spans="1:13">
      <c r="A19" s="15" t="s">
        <v>143</v>
      </c>
      <c r="B19" s="16">
        <v>45448</v>
      </c>
      <c r="C19" s="17" t="s">
        <v>33</v>
      </c>
      <c r="D19" s="17" t="s">
        <v>111</v>
      </c>
      <c r="E19" s="17" t="s">
        <v>112</v>
      </c>
      <c r="F19" s="17" t="s">
        <v>144</v>
      </c>
      <c r="G19" s="17" t="s">
        <v>95</v>
      </c>
      <c r="H19" s="17" t="s">
        <v>145</v>
      </c>
      <c r="I19" s="18">
        <v>105000</v>
      </c>
      <c r="J19" s="17" t="s">
        <v>97</v>
      </c>
      <c r="K19" s="17" t="s">
        <v>98</v>
      </c>
      <c r="L19" s="17" t="s">
        <v>140</v>
      </c>
      <c r="M19" t="str">
        <f t="shared" si="0"/>
        <v>Jun-24</v>
      </c>
    </row>
    <row r="20" spans="1:13">
      <c r="A20" s="15" t="s">
        <v>146</v>
      </c>
      <c r="B20" s="16">
        <v>45452</v>
      </c>
      <c r="C20" s="17" t="s">
        <v>34</v>
      </c>
      <c r="D20" s="17" t="s">
        <v>50</v>
      </c>
      <c r="E20" s="17" t="s">
        <v>117</v>
      </c>
      <c r="F20" s="17" t="s">
        <v>147</v>
      </c>
      <c r="G20" s="17" t="s">
        <v>95</v>
      </c>
      <c r="H20" s="17" t="s">
        <v>119</v>
      </c>
      <c r="I20" s="18">
        <v>14000</v>
      </c>
      <c r="J20" s="17" t="s">
        <v>103</v>
      </c>
      <c r="K20" s="17" t="s">
        <v>109</v>
      </c>
      <c r="L20" s="17" t="s">
        <v>140</v>
      </c>
      <c r="M20" t="str">
        <f t="shared" si="0"/>
        <v>Jun-24</v>
      </c>
    </row>
    <row r="21" spans="1:13">
      <c r="A21" s="15" t="s">
        <v>148</v>
      </c>
      <c r="B21" s="16">
        <v>45569</v>
      </c>
      <c r="C21" s="17" t="s">
        <v>33</v>
      </c>
      <c r="D21" s="17" t="s">
        <v>92</v>
      </c>
      <c r="E21" s="17" t="s">
        <v>125</v>
      </c>
      <c r="F21" s="17" t="s">
        <v>149</v>
      </c>
      <c r="G21" s="17" t="s">
        <v>114</v>
      </c>
      <c r="H21" s="17" t="s">
        <v>127</v>
      </c>
      <c r="I21" s="18">
        <v>65000</v>
      </c>
      <c r="J21" s="17" t="s">
        <v>97</v>
      </c>
      <c r="K21" s="17" t="s">
        <v>114</v>
      </c>
      <c r="L21" s="17" t="s">
        <v>140</v>
      </c>
      <c r="M21" t="str">
        <f t="shared" si="0"/>
        <v>Oct-24</v>
      </c>
    </row>
    <row r="22" spans="1:13">
      <c r="A22" s="15" t="s">
        <v>150</v>
      </c>
      <c r="B22" s="16">
        <v>45572</v>
      </c>
      <c r="C22" s="17" t="s">
        <v>34</v>
      </c>
      <c r="D22" s="17" t="s">
        <v>56</v>
      </c>
      <c r="E22" s="17" t="s">
        <v>151</v>
      </c>
      <c r="F22" s="17" t="s">
        <v>152</v>
      </c>
      <c r="G22" s="17" t="s">
        <v>95</v>
      </c>
      <c r="H22" s="17" t="s">
        <v>153</v>
      </c>
      <c r="I22" s="18">
        <v>6800</v>
      </c>
      <c r="J22" s="17" t="s">
        <v>103</v>
      </c>
      <c r="K22" s="17" t="s">
        <v>109</v>
      </c>
      <c r="L22" s="17" t="s">
        <v>140</v>
      </c>
      <c r="M22" t="str">
        <f t="shared" si="0"/>
        <v>Oct-24</v>
      </c>
    </row>
    <row r="23" spans="1:13">
      <c r="A23" s="15" t="s">
        <v>154</v>
      </c>
      <c r="B23" s="16">
        <v>45662</v>
      </c>
      <c r="C23" s="17" t="s">
        <v>33</v>
      </c>
      <c r="D23" s="17" t="s">
        <v>92</v>
      </c>
      <c r="E23" s="17" t="s">
        <v>93</v>
      </c>
      <c r="F23" s="17" t="s">
        <v>139</v>
      </c>
      <c r="G23" s="17" t="s">
        <v>95</v>
      </c>
      <c r="H23" s="17" t="s">
        <v>96</v>
      </c>
      <c r="I23" s="18">
        <v>105000</v>
      </c>
      <c r="J23" s="17" t="s">
        <v>97</v>
      </c>
      <c r="K23" s="17" t="s">
        <v>98</v>
      </c>
      <c r="L23" s="17" t="s">
        <v>140</v>
      </c>
      <c r="M23" t="str">
        <f t="shared" si="0"/>
        <v>Jan-25</v>
      </c>
    </row>
    <row r="24" spans="1:13">
      <c r="A24" s="15" t="s">
        <v>155</v>
      </c>
      <c r="B24" s="16">
        <v>45665</v>
      </c>
      <c r="C24" s="17" t="s">
        <v>34</v>
      </c>
      <c r="D24" s="17" t="s">
        <v>48</v>
      </c>
      <c r="E24" s="17" t="s">
        <v>101</v>
      </c>
      <c r="F24" s="17" t="s">
        <v>102</v>
      </c>
      <c r="G24" s="17" t="s">
        <v>95</v>
      </c>
      <c r="H24" s="17" t="s">
        <v>101</v>
      </c>
      <c r="I24" s="18">
        <v>60000</v>
      </c>
      <c r="J24" s="17" t="s">
        <v>103</v>
      </c>
      <c r="K24" s="17" t="s">
        <v>98</v>
      </c>
      <c r="L24" s="17" t="s">
        <v>140</v>
      </c>
      <c r="M24" t="str">
        <f t="shared" si="0"/>
        <v>Jan-25</v>
      </c>
    </row>
    <row r="25" spans="1:13">
      <c r="A25" s="15" t="s">
        <v>156</v>
      </c>
      <c r="B25" s="16">
        <v>45667</v>
      </c>
      <c r="C25" s="17" t="s">
        <v>34</v>
      </c>
      <c r="D25" s="17" t="s">
        <v>49</v>
      </c>
      <c r="E25" s="17" t="s">
        <v>121</v>
      </c>
      <c r="F25" s="17" t="s">
        <v>122</v>
      </c>
      <c r="G25" s="17" t="s">
        <v>95</v>
      </c>
      <c r="H25" s="17" t="s">
        <v>123</v>
      </c>
      <c r="I25" s="18">
        <v>22000</v>
      </c>
      <c r="J25" s="17" t="s">
        <v>103</v>
      </c>
      <c r="K25" s="17" t="s">
        <v>98</v>
      </c>
      <c r="L25" s="17" t="s">
        <v>140</v>
      </c>
      <c r="M25" t="str">
        <f t="shared" si="0"/>
        <v>Jan-25</v>
      </c>
    </row>
    <row r="26" spans="1:13">
      <c r="A26" s="15" t="s">
        <v>157</v>
      </c>
      <c r="B26" s="16">
        <v>45752</v>
      </c>
      <c r="C26" s="17" t="s">
        <v>33</v>
      </c>
      <c r="D26" s="17" t="s">
        <v>111</v>
      </c>
      <c r="E26" s="17" t="s">
        <v>112</v>
      </c>
      <c r="F26" s="17" t="s">
        <v>113</v>
      </c>
      <c r="G26" s="17" t="s">
        <v>95</v>
      </c>
      <c r="H26" s="17" t="s">
        <v>115</v>
      </c>
      <c r="I26" s="18">
        <v>135000</v>
      </c>
      <c r="J26" s="17" t="s">
        <v>97</v>
      </c>
      <c r="K26" s="17" t="s">
        <v>98</v>
      </c>
      <c r="L26" s="17" t="s">
        <v>140</v>
      </c>
      <c r="M26" t="str">
        <f t="shared" si="0"/>
        <v>Apr-25</v>
      </c>
    </row>
    <row r="27" spans="1:13">
      <c r="A27" s="15" t="s">
        <v>158</v>
      </c>
      <c r="B27" s="16">
        <v>45756</v>
      </c>
      <c r="C27" s="17" t="s">
        <v>34</v>
      </c>
      <c r="D27" s="17" t="s">
        <v>50</v>
      </c>
      <c r="E27" s="17" t="s">
        <v>117</v>
      </c>
      <c r="F27" s="17" t="s">
        <v>147</v>
      </c>
      <c r="G27" s="17" t="s">
        <v>95</v>
      </c>
      <c r="H27" s="17" t="s">
        <v>119</v>
      </c>
      <c r="I27" s="18">
        <v>21000</v>
      </c>
      <c r="J27" s="17" t="s">
        <v>103</v>
      </c>
      <c r="K27" s="17" t="s">
        <v>109</v>
      </c>
      <c r="L27" s="17" t="s">
        <v>140</v>
      </c>
      <c r="M27" t="str">
        <f t="shared" si="0"/>
        <v>Apr-25</v>
      </c>
    </row>
    <row r="28" spans="1:13">
      <c r="A28" s="15" t="s">
        <v>159</v>
      </c>
      <c r="B28" s="16">
        <v>45843</v>
      </c>
      <c r="C28" s="17" t="s">
        <v>33</v>
      </c>
      <c r="D28" s="17" t="s">
        <v>92</v>
      </c>
      <c r="E28" s="17" t="s">
        <v>93</v>
      </c>
      <c r="F28" s="17" t="s">
        <v>134</v>
      </c>
      <c r="G28" s="17" t="s">
        <v>95</v>
      </c>
      <c r="H28" s="17" t="s">
        <v>96</v>
      </c>
      <c r="I28" s="18">
        <v>115000</v>
      </c>
      <c r="J28" s="17" t="s">
        <v>97</v>
      </c>
      <c r="K28" s="17" t="s">
        <v>98</v>
      </c>
      <c r="L28" s="17" t="s">
        <v>140</v>
      </c>
      <c r="M28" t="str">
        <f t="shared" si="0"/>
        <v>Jul-25</v>
      </c>
    </row>
    <row r="29" spans="1:13">
      <c r="A29" s="15" t="s">
        <v>160</v>
      </c>
      <c r="B29" s="16">
        <v>45846</v>
      </c>
      <c r="C29" s="17" t="s">
        <v>34</v>
      </c>
      <c r="D29" s="17" t="s">
        <v>48</v>
      </c>
      <c r="E29" s="17" t="s">
        <v>101</v>
      </c>
      <c r="F29" s="17" t="s">
        <v>102</v>
      </c>
      <c r="G29" s="17" t="s">
        <v>95</v>
      </c>
      <c r="H29" s="17" t="s">
        <v>101</v>
      </c>
      <c r="I29" s="18">
        <v>68000</v>
      </c>
      <c r="J29" s="17" t="s">
        <v>103</v>
      </c>
      <c r="K29" s="17" t="s">
        <v>98</v>
      </c>
      <c r="L29" s="17" t="s">
        <v>140</v>
      </c>
      <c r="M29" t="str">
        <f t="shared" si="0"/>
        <v>Jul-25</v>
      </c>
    </row>
    <row r="30" spans="1:13">
      <c r="A30" s="15" t="s">
        <v>161</v>
      </c>
      <c r="B30" s="16">
        <v>45850</v>
      </c>
      <c r="C30" s="17" t="s">
        <v>34</v>
      </c>
      <c r="D30" s="17" t="s">
        <v>56</v>
      </c>
      <c r="E30" s="17" t="s">
        <v>151</v>
      </c>
      <c r="F30" s="17" t="s">
        <v>152</v>
      </c>
      <c r="G30" s="17" t="s">
        <v>95</v>
      </c>
      <c r="H30" s="17" t="s">
        <v>153</v>
      </c>
      <c r="I30" s="18">
        <v>9800</v>
      </c>
      <c r="J30" s="17" t="s">
        <v>103</v>
      </c>
      <c r="K30" s="17" t="s">
        <v>109</v>
      </c>
      <c r="L30" s="17" t="s">
        <v>140</v>
      </c>
      <c r="M30" t="str">
        <f t="shared" si="0"/>
        <v>Jul-25</v>
      </c>
    </row>
    <row r="31" spans="1:13">
      <c r="A31" s="15" t="s">
        <v>162</v>
      </c>
      <c r="B31" s="16">
        <v>45966</v>
      </c>
      <c r="C31" s="17" t="s">
        <v>33</v>
      </c>
      <c r="D31" s="17" t="s">
        <v>92</v>
      </c>
      <c r="E31" s="17" t="s">
        <v>125</v>
      </c>
      <c r="F31" s="17" t="s">
        <v>163</v>
      </c>
      <c r="G31" s="17" t="s">
        <v>114</v>
      </c>
      <c r="H31" s="17" t="s">
        <v>164</v>
      </c>
      <c r="I31" s="18">
        <v>92000</v>
      </c>
      <c r="J31" s="17" t="s">
        <v>97</v>
      </c>
      <c r="K31" s="17" t="s">
        <v>114</v>
      </c>
      <c r="L31" s="17" t="s">
        <v>140</v>
      </c>
      <c r="M31" t="str">
        <f t="shared" si="0"/>
        <v>Nov-25</v>
      </c>
    </row>
    <row r="32" spans="1:13">
      <c r="A32" s="15" t="s">
        <v>165</v>
      </c>
      <c r="B32" s="16">
        <v>45971</v>
      </c>
      <c r="C32" s="17" t="s">
        <v>34</v>
      </c>
      <c r="D32" s="17" t="s">
        <v>50</v>
      </c>
      <c r="E32" s="17" t="s">
        <v>117</v>
      </c>
      <c r="F32" s="17" t="s">
        <v>147</v>
      </c>
      <c r="G32" s="17" t="s">
        <v>95</v>
      </c>
      <c r="H32" s="17" t="s">
        <v>119</v>
      </c>
      <c r="I32" s="18">
        <v>27000</v>
      </c>
      <c r="J32" s="17" t="s">
        <v>103</v>
      </c>
      <c r="K32" s="17" t="s">
        <v>109</v>
      </c>
      <c r="L32" s="17" t="s">
        <v>140</v>
      </c>
      <c r="M32" t="str">
        <f t="shared" si="0"/>
        <v>Nov-25</v>
      </c>
    </row>
    <row r="33" spans="1:13">
      <c r="A33" s="15" t="s">
        <v>166</v>
      </c>
      <c r="B33" s="16">
        <v>46058</v>
      </c>
      <c r="C33" s="17" t="s">
        <v>33</v>
      </c>
      <c r="D33" s="17" t="s">
        <v>111</v>
      </c>
      <c r="E33" s="17" t="s">
        <v>112</v>
      </c>
      <c r="F33" s="17" t="s">
        <v>167</v>
      </c>
      <c r="G33" s="17" t="s">
        <v>95</v>
      </c>
      <c r="H33" s="17" t="s">
        <v>145</v>
      </c>
      <c r="I33" s="18">
        <v>145000</v>
      </c>
      <c r="J33" s="17" t="s">
        <v>97</v>
      </c>
      <c r="K33" s="17" t="s">
        <v>98</v>
      </c>
      <c r="L33" s="17" t="s">
        <v>140</v>
      </c>
      <c r="M33" t="str">
        <f t="shared" si="0"/>
        <v>Feb-26</v>
      </c>
    </row>
    <row r="34" spans="1:13">
      <c r="A34" s="15" t="s">
        <v>168</v>
      </c>
      <c r="B34" s="16">
        <v>46061</v>
      </c>
      <c r="C34" s="17" t="s">
        <v>34</v>
      </c>
      <c r="D34" s="17" t="s">
        <v>48</v>
      </c>
      <c r="E34" s="17" t="s">
        <v>101</v>
      </c>
      <c r="F34" s="17" t="s">
        <v>102</v>
      </c>
      <c r="G34" s="17" t="s">
        <v>95</v>
      </c>
      <c r="H34" s="17" t="s">
        <v>101</v>
      </c>
      <c r="I34" s="18">
        <v>72000</v>
      </c>
      <c r="J34" s="17" t="s">
        <v>103</v>
      </c>
      <c r="K34" s="17" t="s">
        <v>98</v>
      </c>
      <c r="L34" s="17" t="s">
        <v>140</v>
      </c>
      <c r="M34" t="str">
        <f t="shared" si="0"/>
        <v>Feb-26</v>
      </c>
    </row>
    <row r="35" spans="1:13">
      <c r="A35" s="19" t="s">
        <v>169</v>
      </c>
      <c r="B35" s="20">
        <v>46065</v>
      </c>
      <c r="C35" s="21" t="s">
        <v>34</v>
      </c>
      <c r="D35" s="21" t="s">
        <v>170</v>
      </c>
      <c r="E35" s="21" t="s">
        <v>171</v>
      </c>
      <c r="F35" s="21" t="s">
        <v>172</v>
      </c>
      <c r="G35" s="21" t="s">
        <v>114</v>
      </c>
      <c r="H35" s="21" t="s">
        <v>173</v>
      </c>
      <c r="I35" s="22">
        <v>11000</v>
      </c>
      <c r="J35" s="21" t="s">
        <v>103</v>
      </c>
      <c r="K35" s="21" t="s">
        <v>114</v>
      </c>
      <c r="L35" s="21" t="s">
        <v>140</v>
      </c>
      <c r="M35" t="str">
        <f t="shared" si="0"/>
        <v>Feb-26</v>
      </c>
    </row>
    <row r="36" spans="1:13">
      <c r="A36" s="2"/>
      <c r="B36" s="5"/>
      <c r="C36" s="2"/>
      <c r="D36" s="2"/>
      <c r="E36" s="2"/>
      <c r="F36" s="2"/>
      <c r="G36" s="2"/>
      <c r="H36" s="2"/>
      <c r="I36" s="3"/>
      <c r="J36" s="2"/>
      <c r="K36" s="2"/>
      <c r="L36" s="2"/>
      <c r="M36" t="str">
        <f t="shared" si="0"/>
        <v/>
      </c>
    </row>
    <row r="37" spans="1:13">
      <c r="A37" s="2"/>
      <c r="B37" s="5"/>
      <c r="C37" s="2"/>
      <c r="D37" s="2"/>
      <c r="E37" s="2"/>
      <c r="F37" s="2"/>
      <c r="G37" s="2"/>
      <c r="H37" s="2"/>
      <c r="I37" s="3"/>
      <c r="J37" s="2"/>
      <c r="K37" s="2"/>
      <c r="L37" s="2"/>
      <c r="M37" t="str">
        <f t="shared" si="0"/>
        <v/>
      </c>
    </row>
    <row r="38" spans="1:13">
      <c r="A38" s="2"/>
      <c r="B38" s="5"/>
      <c r="C38" s="2"/>
      <c r="D38" s="2"/>
      <c r="E38" s="2"/>
      <c r="F38" s="2"/>
      <c r="G38" s="2"/>
      <c r="H38" s="2"/>
      <c r="I38" s="3"/>
      <c r="J38" s="2"/>
      <c r="K38" s="2"/>
      <c r="L38" s="2"/>
      <c r="M38" t="str">
        <f t="shared" si="0"/>
        <v/>
      </c>
    </row>
    <row r="39" spans="1:13">
      <c r="A39" s="2"/>
      <c r="B39" s="5"/>
      <c r="C39" s="2"/>
      <c r="D39" s="2"/>
      <c r="E39" s="2"/>
      <c r="F39" s="2"/>
      <c r="G39" s="2"/>
      <c r="H39" s="2"/>
      <c r="I39" s="3"/>
      <c r="J39" s="2"/>
      <c r="K39" s="2"/>
      <c r="L39" s="2"/>
      <c r="M39" t="str">
        <f t="shared" si="0"/>
        <v/>
      </c>
    </row>
    <row r="40" spans="1:13">
      <c r="A40" s="2"/>
      <c r="B40" s="5"/>
      <c r="C40" s="2"/>
      <c r="D40" s="2"/>
      <c r="E40" s="2"/>
      <c r="F40" s="2"/>
      <c r="G40" s="2"/>
      <c r="H40" s="2"/>
      <c r="I40" s="3"/>
      <c r="J40" s="2"/>
      <c r="K40" s="2"/>
      <c r="L40" s="2"/>
      <c r="M40" t="str">
        <f t="shared" si="0"/>
        <v/>
      </c>
    </row>
    <row r="41" spans="1:13">
      <c r="A41" s="2"/>
      <c r="B41" s="5"/>
      <c r="C41" s="2"/>
      <c r="D41" s="2"/>
      <c r="E41" s="2"/>
      <c r="F41" s="2"/>
      <c r="G41" s="2"/>
      <c r="H41" s="2"/>
      <c r="I41" s="3"/>
      <c r="J41" s="2"/>
      <c r="K41" s="2"/>
      <c r="L41" s="2"/>
      <c r="M41" t="str">
        <f t="shared" si="0"/>
        <v/>
      </c>
    </row>
    <row r="42" spans="1:13">
      <c r="A42" s="2"/>
      <c r="B42" s="5"/>
      <c r="C42" s="2"/>
      <c r="D42" s="2"/>
      <c r="E42" s="2"/>
      <c r="F42" s="2"/>
      <c r="G42" s="2"/>
      <c r="H42" s="2"/>
      <c r="I42" s="3"/>
      <c r="J42" s="2"/>
      <c r="K42" s="2"/>
      <c r="L42" s="2"/>
      <c r="M42" t="str">
        <f t="shared" si="0"/>
        <v/>
      </c>
    </row>
    <row r="43" spans="1:13">
      <c r="A43" s="2"/>
      <c r="B43" s="5"/>
      <c r="C43" s="2"/>
      <c r="D43" s="2"/>
      <c r="E43" s="2"/>
      <c r="F43" s="2"/>
      <c r="G43" s="2"/>
      <c r="H43" s="2"/>
      <c r="I43" s="3"/>
      <c r="J43" s="2"/>
      <c r="K43" s="2"/>
      <c r="L43" s="2"/>
      <c r="M43" t="str">
        <f t="shared" si="0"/>
        <v/>
      </c>
    </row>
    <row r="44" spans="1:13">
      <c r="A44" s="2"/>
      <c r="B44" s="5"/>
      <c r="C44" s="2"/>
      <c r="D44" s="2"/>
      <c r="E44" s="2"/>
      <c r="F44" s="2"/>
      <c r="G44" s="2"/>
      <c r="H44" s="2"/>
      <c r="I44" s="3"/>
      <c r="J44" s="2"/>
      <c r="K44" s="2"/>
      <c r="L44" s="2"/>
      <c r="M44" t="str">
        <f t="shared" si="0"/>
        <v/>
      </c>
    </row>
    <row r="45" spans="1:13">
      <c r="A45" s="2"/>
      <c r="B45" s="5"/>
      <c r="C45" s="2"/>
      <c r="D45" s="2"/>
      <c r="E45" s="2"/>
      <c r="F45" s="2"/>
      <c r="G45" s="2"/>
      <c r="H45" s="2"/>
      <c r="I45" s="3"/>
      <c r="J45" s="2"/>
      <c r="K45" s="2"/>
      <c r="L45" s="2"/>
      <c r="M45" t="str">
        <f t="shared" si="0"/>
        <v/>
      </c>
    </row>
    <row r="46" spans="1:13">
      <c r="A46" s="2"/>
      <c r="B46" s="5"/>
      <c r="C46" s="2"/>
      <c r="D46" s="2"/>
      <c r="E46" s="2"/>
      <c r="F46" s="2"/>
      <c r="G46" s="2"/>
      <c r="H46" s="2"/>
      <c r="I46" s="3"/>
      <c r="J46" s="2"/>
      <c r="K46" s="2"/>
      <c r="L46" s="2"/>
      <c r="M46" t="str">
        <f t="shared" si="0"/>
        <v/>
      </c>
    </row>
    <row r="47" spans="1:13">
      <c r="A47" s="2"/>
      <c r="B47" s="5"/>
      <c r="C47" s="2"/>
      <c r="D47" s="2"/>
      <c r="E47" s="2"/>
      <c r="F47" s="2"/>
      <c r="G47" s="2"/>
      <c r="H47" s="2"/>
      <c r="I47" s="3"/>
      <c r="J47" s="2"/>
      <c r="K47" s="2"/>
      <c r="L47" s="2"/>
      <c r="M47" t="str">
        <f t="shared" si="0"/>
        <v/>
      </c>
    </row>
    <row r="48" spans="1:13">
      <c r="A48" s="2"/>
      <c r="B48" s="5"/>
      <c r="C48" s="2"/>
      <c r="D48" s="2"/>
      <c r="E48" s="2"/>
      <c r="F48" s="2"/>
      <c r="G48" s="2"/>
      <c r="H48" s="2"/>
      <c r="I48" s="3"/>
      <c r="J48" s="2"/>
      <c r="K48" s="2"/>
      <c r="L48" s="2"/>
      <c r="M48" t="str">
        <f t="shared" si="0"/>
        <v/>
      </c>
    </row>
    <row r="49" spans="1:13">
      <c r="A49" s="2"/>
      <c r="B49" s="5"/>
      <c r="C49" s="2"/>
      <c r="D49" s="2"/>
      <c r="E49" s="2"/>
      <c r="F49" s="2"/>
      <c r="G49" s="2"/>
      <c r="H49" s="2"/>
      <c r="I49" s="3"/>
      <c r="J49" s="2"/>
      <c r="K49" s="2"/>
      <c r="L49" s="2"/>
      <c r="M49" t="str">
        <f t="shared" si="0"/>
        <v/>
      </c>
    </row>
    <row r="50" spans="1:13">
      <c r="A50" s="2"/>
      <c r="B50" s="5"/>
      <c r="C50" s="2"/>
      <c r="D50" s="2"/>
      <c r="E50" s="2"/>
      <c r="F50" s="2"/>
      <c r="G50" s="2"/>
      <c r="H50" s="2"/>
      <c r="I50" s="3"/>
      <c r="J50" s="2"/>
      <c r="K50" s="2"/>
      <c r="L50" s="2"/>
      <c r="M50" t="str">
        <f t="shared" si="0"/>
        <v/>
      </c>
    </row>
    <row r="51" spans="1:13">
      <c r="A51" s="2"/>
      <c r="B51" s="5"/>
      <c r="C51" s="2"/>
      <c r="D51" s="2"/>
      <c r="E51" s="2"/>
      <c r="F51" s="2"/>
      <c r="G51" s="2"/>
      <c r="H51" s="2"/>
      <c r="I51" s="3"/>
      <c r="J51" s="2"/>
      <c r="K51" s="2"/>
      <c r="L51" s="2"/>
      <c r="M51" t="str">
        <f t="shared" si="0"/>
        <v/>
      </c>
    </row>
    <row r="52" spans="1:13">
      <c r="A52" s="2"/>
      <c r="B52" s="5"/>
      <c r="C52" s="2"/>
      <c r="D52" s="2"/>
      <c r="E52" s="2"/>
      <c r="F52" s="2"/>
      <c r="G52" s="2"/>
      <c r="H52" s="2"/>
      <c r="I52" s="3"/>
      <c r="J52" s="2"/>
      <c r="K52" s="2"/>
      <c r="L52" s="2"/>
      <c r="M52" t="str">
        <f t="shared" si="0"/>
        <v/>
      </c>
    </row>
    <row r="53" spans="1:13">
      <c r="A53" s="2"/>
      <c r="B53" s="5"/>
      <c r="C53" s="2"/>
      <c r="D53" s="2"/>
      <c r="E53" s="2"/>
      <c r="F53" s="2"/>
      <c r="G53" s="2"/>
      <c r="H53" s="2"/>
      <c r="I53" s="3"/>
      <c r="J53" s="2"/>
      <c r="K53" s="2"/>
      <c r="L53" s="2"/>
      <c r="M53" t="str">
        <f t="shared" si="0"/>
        <v/>
      </c>
    </row>
    <row r="54" spans="1:13">
      <c r="A54" s="2"/>
      <c r="B54" s="5"/>
      <c r="C54" s="2"/>
      <c r="D54" s="2"/>
      <c r="E54" s="2"/>
      <c r="F54" s="2"/>
      <c r="G54" s="2"/>
      <c r="H54" s="2"/>
      <c r="I54" s="3"/>
      <c r="J54" s="2"/>
      <c r="K54" s="2"/>
      <c r="L54" s="2"/>
      <c r="M54" t="str">
        <f t="shared" si="0"/>
        <v/>
      </c>
    </row>
    <row r="55" spans="1:13">
      <c r="A55" s="2"/>
      <c r="B55" s="5"/>
      <c r="C55" s="2"/>
      <c r="D55" s="2"/>
      <c r="E55" s="2"/>
      <c r="F55" s="2"/>
      <c r="G55" s="2"/>
      <c r="H55" s="2"/>
      <c r="I55" s="3"/>
      <c r="J55" s="2"/>
      <c r="K55" s="2"/>
      <c r="L55" s="2"/>
      <c r="M55" t="str">
        <f t="shared" si="0"/>
        <v/>
      </c>
    </row>
    <row r="56" spans="1:13">
      <c r="A56" s="2"/>
      <c r="B56" s="5"/>
      <c r="C56" s="2"/>
      <c r="D56" s="2"/>
      <c r="E56" s="2"/>
      <c r="F56" s="2"/>
      <c r="G56" s="2"/>
      <c r="H56" s="2"/>
      <c r="I56" s="3"/>
      <c r="J56" s="2"/>
      <c r="K56" s="2"/>
      <c r="L56" s="2"/>
      <c r="M56" t="str">
        <f t="shared" si="0"/>
        <v/>
      </c>
    </row>
    <row r="57" spans="1:13">
      <c r="A57" s="2"/>
      <c r="B57" s="5"/>
      <c r="C57" s="2"/>
      <c r="D57" s="2"/>
      <c r="E57" s="2"/>
      <c r="F57" s="2"/>
      <c r="G57" s="2"/>
      <c r="H57" s="2"/>
      <c r="I57" s="3"/>
      <c r="J57" s="2"/>
      <c r="K57" s="2"/>
      <c r="L57" s="2"/>
      <c r="M57" t="str">
        <f t="shared" si="0"/>
        <v/>
      </c>
    </row>
    <row r="58" spans="1:13">
      <c r="A58" s="2"/>
      <c r="B58" s="5"/>
      <c r="C58" s="2"/>
      <c r="D58" s="2"/>
      <c r="E58" s="2"/>
      <c r="F58" s="2"/>
      <c r="G58" s="2"/>
      <c r="H58" s="2"/>
      <c r="I58" s="3"/>
      <c r="J58" s="2"/>
      <c r="K58" s="2"/>
      <c r="L58" s="2"/>
      <c r="M58" t="str">
        <f t="shared" si="0"/>
        <v/>
      </c>
    </row>
    <row r="59" spans="1:13">
      <c r="A59" s="2"/>
      <c r="B59" s="5"/>
      <c r="C59" s="2"/>
      <c r="D59" s="2"/>
      <c r="E59" s="2"/>
      <c r="F59" s="2"/>
      <c r="G59" s="2"/>
      <c r="H59" s="2"/>
      <c r="I59" s="3"/>
      <c r="J59" s="2"/>
      <c r="K59" s="2"/>
      <c r="L59" s="2"/>
      <c r="M59" t="str">
        <f t="shared" si="0"/>
        <v/>
      </c>
    </row>
    <row r="60" spans="1:13">
      <c r="A60" s="2"/>
      <c r="B60" s="5"/>
      <c r="C60" s="2"/>
      <c r="D60" s="2"/>
      <c r="E60" s="2"/>
      <c r="F60" s="2"/>
      <c r="G60" s="2"/>
      <c r="H60" s="2"/>
      <c r="I60" s="3"/>
      <c r="J60" s="2"/>
      <c r="K60" s="2"/>
      <c r="L60" s="2"/>
      <c r="M60" t="str">
        <f t="shared" si="0"/>
        <v/>
      </c>
    </row>
    <row r="61" spans="1:13">
      <c r="A61" s="2"/>
      <c r="B61" s="5"/>
      <c r="C61" s="2"/>
      <c r="D61" s="2"/>
      <c r="E61" s="2"/>
      <c r="F61" s="2"/>
      <c r="G61" s="2"/>
      <c r="H61" s="2"/>
      <c r="I61" s="3"/>
      <c r="J61" s="2"/>
      <c r="K61" s="2"/>
      <c r="L61" s="2"/>
      <c r="M61" t="str">
        <f t="shared" si="0"/>
        <v/>
      </c>
    </row>
    <row r="62" spans="1:13">
      <c r="A62" s="2"/>
      <c r="B62" s="5"/>
      <c r="C62" s="2"/>
      <c r="D62" s="2"/>
      <c r="E62" s="2"/>
      <c r="F62" s="2"/>
      <c r="G62" s="2"/>
      <c r="H62" s="2"/>
      <c r="I62" s="3"/>
      <c r="J62" s="2"/>
      <c r="K62" s="2"/>
      <c r="L62" s="2"/>
      <c r="M62" t="str">
        <f t="shared" si="0"/>
        <v/>
      </c>
    </row>
    <row r="63" spans="1:13">
      <c r="A63" s="2"/>
      <c r="B63" s="5"/>
      <c r="C63" s="2"/>
      <c r="D63" s="2"/>
      <c r="E63" s="2"/>
      <c r="F63" s="2"/>
      <c r="G63" s="2"/>
      <c r="H63" s="2"/>
      <c r="I63" s="3"/>
      <c r="J63" s="2"/>
      <c r="K63" s="2"/>
      <c r="L63" s="2"/>
      <c r="M63" t="str">
        <f t="shared" si="0"/>
        <v/>
      </c>
    </row>
    <row r="64" spans="1:13">
      <c r="A64" s="2"/>
      <c r="B64" s="5"/>
      <c r="C64" s="2"/>
      <c r="D64" s="2"/>
      <c r="E64" s="2"/>
      <c r="F64" s="2"/>
      <c r="G64" s="2"/>
      <c r="H64" s="2"/>
      <c r="I64" s="3"/>
      <c r="J64" s="2"/>
      <c r="K64" s="2"/>
      <c r="L64" s="2"/>
      <c r="M64" t="str">
        <f t="shared" si="0"/>
        <v/>
      </c>
    </row>
    <row r="65" spans="1:13">
      <c r="A65" s="2"/>
      <c r="B65" s="5"/>
      <c r="C65" s="2"/>
      <c r="D65" s="2"/>
      <c r="E65" s="2"/>
      <c r="F65" s="2"/>
      <c r="G65" s="2"/>
      <c r="H65" s="2"/>
      <c r="I65" s="3"/>
      <c r="J65" s="2"/>
      <c r="K65" s="2"/>
      <c r="L65" s="2"/>
      <c r="M65" t="str">
        <f t="shared" si="0"/>
        <v/>
      </c>
    </row>
    <row r="66" spans="1:13">
      <c r="A66" s="2"/>
      <c r="B66" s="5"/>
      <c r="C66" s="2"/>
      <c r="D66" s="2"/>
      <c r="E66" s="2"/>
      <c r="F66" s="2"/>
      <c r="G66" s="2"/>
      <c r="H66" s="2"/>
      <c r="I66" s="3"/>
      <c r="J66" s="2"/>
      <c r="K66" s="2"/>
      <c r="L66" s="2"/>
      <c r="M66" t="str">
        <f t="shared" si="0"/>
        <v/>
      </c>
    </row>
    <row r="67" spans="1:13">
      <c r="A67" s="2"/>
      <c r="B67" s="5"/>
      <c r="C67" s="2"/>
      <c r="D67" s="2"/>
      <c r="E67" s="2"/>
      <c r="F67" s="2"/>
      <c r="G67" s="2"/>
      <c r="H67" s="2"/>
      <c r="I67" s="3"/>
      <c r="J67" s="2"/>
      <c r="K67" s="2"/>
      <c r="L67" s="2"/>
      <c r="M67" t="str">
        <f t="shared" si="0"/>
        <v/>
      </c>
    </row>
    <row r="68" spans="1:13">
      <c r="A68" s="2"/>
      <c r="B68" s="5"/>
      <c r="C68" s="2"/>
      <c r="D68" s="2"/>
      <c r="E68" s="2"/>
      <c r="F68" s="2"/>
      <c r="G68" s="2"/>
      <c r="H68" s="2"/>
      <c r="I68" s="3"/>
      <c r="J68" s="2"/>
      <c r="K68" s="2"/>
      <c r="L68" s="2"/>
      <c r="M68" t="str">
        <f t="shared" si="0"/>
        <v/>
      </c>
    </row>
    <row r="69" spans="1:13">
      <c r="A69" s="2"/>
      <c r="B69" s="5"/>
      <c r="C69" s="2"/>
      <c r="D69" s="2"/>
      <c r="E69" s="2"/>
      <c r="F69" s="2"/>
      <c r="G69" s="2"/>
      <c r="H69" s="2"/>
      <c r="I69" s="3"/>
      <c r="J69" s="2"/>
      <c r="K69" s="2"/>
      <c r="L69" s="2"/>
      <c r="M69" t="str">
        <f t="shared" ref="M69:M132" si="1">IF(B69="","",TEXT(B69,"mmm-yy"))</f>
        <v/>
      </c>
    </row>
    <row r="70" spans="1:13">
      <c r="A70" s="2"/>
      <c r="B70" s="5"/>
      <c r="C70" s="2"/>
      <c r="D70" s="2"/>
      <c r="E70" s="2"/>
      <c r="F70" s="2"/>
      <c r="G70" s="2"/>
      <c r="H70" s="2"/>
      <c r="I70" s="3"/>
      <c r="J70" s="2"/>
      <c r="K70" s="2"/>
      <c r="L70" s="2"/>
      <c r="M70" t="str">
        <f t="shared" si="1"/>
        <v/>
      </c>
    </row>
    <row r="71" spans="1:13">
      <c r="A71" s="2"/>
      <c r="B71" s="5"/>
      <c r="C71" s="2"/>
      <c r="D71" s="2"/>
      <c r="E71" s="2"/>
      <c r="F71" s="2"/>
      <c r="G71" s="2"/>
      <c r="H71" s="2"/>
      <c r="I71" s="3"/>
      <c r="J71" s="2"/>
      <c r="K71" s="2"/>
      <c r="L71" s="2"/>
      <c r="M71" t="str">
        <f t="shared" si="1"/>
        <v/>
      </c>
    </row>
    <row r="72" spans="1:13">
      <c r="A72" s="2"/>
      <c r="B72" s="5"/>
      <c r="C72" s="2"/>
      <c r="D72" s="2"/>
      <c r="E72" s="2"/>
      <c r="F72" s="2"/>
      <c r="G72" s="2"/>
      <c r="H72" s="2"/>
      <c r="I72" s="3"/>
      <c r="J72" s="2"/>
      <c r="K72" s="2"/>
      <c r="L72" s="2"/>
      <c r="M72" t="str">
        <f t="shared" si="1"/>
        <v/>
      </c>
    </row>
    <row r="73" spans="1:13">
      <c r="A73" s="2"/>
      <c r="B73" s="5"/>
      <c r="C73" s="2"/>
      <c r="D73" s="2"/>
      <c r="E73" s="2"/>
      <c r="F73" s="2"/>
      <c r="G73" s="2"/>
      <c r="H73" s="2"/>
      <c r="I73" s="3"/>
      <c r="J73" s="2"/>
      <c r="K73" s="2"/>
      <c r="L73" s="2"/>
      <c r="M73" t="str">
        <f t="shared" si="1"/>
        <v/>
      </c>
    </row>
    <row r="74" spans="1:13">
      <c r="A74" s="2"/>
      <c r="B74" s="5"/>
      <c r="C74" s="2"/>
      <c r="D74" s="2"/>
      <c r="E74" s="2"/>
      <c r="F74" s="2"/>
      <c r="G74" s="2"/>
      <c r="H74" s="2"/>
      <c r="I74" s="3"/>
      <c r="J74" s="2"/>
      <c r="K74" s="2"/>
      <c r="L74" s="2"/>
      <c r="M74" t="str">
        <f t="shared" si="1"/>
        <v/>
      </c>
    </row>
    <row r="75" spans="1:13">
      <c r="A75" s="2"/>
      <c r="B75" s="5"/>
      <c r="C75" s="2"/>
      <c r="D75" s="2"/>
      <c r="E75" s="2"/>
      <c r="F75" s="2"/>
      <c r="G75" s="2"/>
      <c r="H75" s="2"/>
      <c r="I75" s="3"/>
      <c r="J75" s="2"/>
      <c r="K75" s="2"/>
      <c r="L75" s="2"/>
      <c r="M75" t="str">
        <f t="shared" si="1"/>
        <v/>
      </c>
    </row>
    <row r="76" spans="1:13">
      <c r="A76" s="2"/>
      <c r="B76" s="5"/>
      <c r="C76" s="2"/>
      <c r="D76" s="2"/>
      <c r="E76" s="2"/>
      <c r="F76" s="2"/>
      <c r="G76" s="2"/>
      <c r="H76" s="2"/>
      <c r="I76" s="3"/>
      <c r="J76" s="2"/>
      <c r="K76" s="2"/>
      <c r="L76" s="2"/>
      <c r="M76" t="str">
        <f t="shared" si="1"/>
        <v/>
      </c>
    </row>
    <row r="77" spans="1:13">
      <c r="A77" s="2"/>
      <c r="B77" s="5"/>
      <c r="C77" s="2"/>
      <c r="D77" s="2"/>
      <c r="E77" s="2"/>
      <c r="F77" s="2"/>
      <c r="G77" s="2"/>
      <c r="H77" s="2"/>
      <c r="I77" s="3"/>
      <c r="J77" s="2"/>
      <c r="K77" s="2"/>
      <c r="L77" s="2"/>
      <c r="M77" t="str">
        <f t="shared" si="1"/>
        <v/>
      </c>
    </row>
    <row r="78" spans="1:13">
      <c r="A78" s="2"/>
      <c r="B78" s="5"/>
      <c r="C78" s="2"/>
      <c r="D78" s="2"/>
      <c r="E78" s="2"/>
      <c r="F78" s="2"/>
      <c r="G78" s="2"/>
      <c r="H78" s="2"/>
      <c r="I78" s="3"/>
      <c r="J78" s="2"/>
      <c r="K78" s="2"/>
      <c r="L78" s="2"/>
      <c r="M78" t="str">
        <f t="shared" si="1"/>
        <v/>
      </c>
    </row>
    <row r="79" spans="1:13">
      <c r="A79" s="2"/>
      <c r="B79" s="5"/>
      <c r="C79" s="2"/>
      <c r="D79" s="2"/>
      <c r="E79" s="2"/>
      <c r="F79" s="2"/>
      <c r="G79" s="2"/>
      <c r="H79" s="2"/>
      <c r="I79" s="3"/>
      <c r="J79" s="2"/>
      <c r="K79" s="2"/>
      <c r="L79" s="2"/>
      <c r="M79" t="str">
        <f t="shared" si="1"/>
        <v/>
      </c>
    </row>
    <row r="80" spans="1:13">
      <c r="A80" s="2"/>
      <c r="B80" s="5"/>
      <c r="C80" s="2"/>
      <c r="D80" s="2"/>
      <c r="E80" s="2"/>
      <c r="F80" s="2"/>
      <c r="G80" s="2"/>
      <c r="H80" s="2"/>
      <c r="I80" s="3"/>
      <c r="J80" s="2"/>
      <c r="K80" s="2"/>
      <c r="L80" s="2"/>
      <c r="M80" t="str">
        <f t="shared" si="1"/>
        <v/>
      </c>
    </row>
    <row r="81" spans="1:13">
      <c r="A81" s="2"/>
      <c r="B81" s="5"/>
      <c r="C81" s="2"/>
      <c r="D81" s="2"/>
      <c r="E81" s="2"/>
      <c r="F81" s="2"/>
      <c r="G81" s="2"/>
      <c r="H81" s="2"/>
      <c r="I81" s="3"/>
      <c r="J81" s="2"/>
      <c r="K81" s="2"/>
      <c r="L81" s="2"/>
      <c r="M81" t="str">
        <f t="shared" si="1"/>
        <v/>
      </c>
    </row>
    <row r="82" spans="1:13">
      <c r="A82" s="2"/>
      <c r="B82" s="5"/>
      <c r="C82" s="2"/>
      <c r="D82" s="2"/>
      <c r="E82" s="2"/>
      <c r="F82" s="2"/>
      <c r="G82" s="2"/>
      <c r="H82" s="2"/>
      <c r="I82" s="3"/>
      <c r="J82" s="2"/>
      <c r="K82" s="2"/>
      <c r="L82" s="2"/>
      <c r="M82" t="str">
        <f t="shared" si="1"/>
        <v/>
      </c>
    </row>
    <row r="83" spans="1:13">
      <c r="A83" s="2"/>
      <c r="B83" s="5"/>
      <c r="C83" s="2"/>
      <c r="D83" s="2"/>
      <c r="E83" s="2"/>
      <c r="F83" s="2"/>
      <c r="G83" s="2"/>
      <c r="H83" s="2"/>
      <c r="I83" s="3"/>
      <c r="J83" s="2"/>
      <c r="K83" s="2"/>
      <c r="L83" s="2"/>
      <c r="M83" t="str">
        <f t="shared" si="1"/>
        <v/>
      </c>
    </row>
    <row r="84" spans="1:13">
      <c r="A84" s="2"/>
      <c r="B84" s="5"/>
      <c r="C84" s="2"/>
      <c r="D84" s="2"/>
      <c r="E84" s="2"/>
      <c r="F84" s="2"/>
      <c r="G84" s="2"/>
      <c r="H84" s="2"/>
      <c r="I84" s="3"/>
      <c r="J84" s="2"/>
      <c r="K84" s="2"/>
      <c r="L84" s="2"/>
      <c r="M84" t="str">
        <f t="shared" si="1"/>
        <v/>
      </c>
    </row>
    <row r="85" spans="1:13">
      <c r="A85" s="2"/>
      <c r="B85" s="5"/>
      <c r="C85" s="2"/>
      <c r="D85" s="2"/>
      <c r="E85" s="2"/>
      <c r="F85" s="2"/>
      <c r="G85" s="2"/>
      <c r="H85" s="2"/>
      <c r="I85" s="3"/>
      <c r="J85" s="2"/>
      <c r="K85" s="2"/>
      <c r="L85" s="2"/>
      <c r="M85" t="str">
        <f t="shared" si="1"/>
        <v/>
      </c>
    </row>
    <row r="86" spans="1:13">
      <c r="A86" s="2"/>
      <c r="B86" s="5"/>
      <c r="C86" s="2"/>
      <c r="D86" s="2"/>
      <c r="E86" s="2"/>
      <c r="F86" s="2"/>
      <c r="G86" s="2"/>
      <c r="H86" s="2"/>
      <c r="I86" s="3"/>
      <c r="J86" s="2"/>
      <c r="K86" s="2"/>
      <c r="L86" s="2"/>
      <c r="M86" t="str">
        <f t="shared" si="1"/>
        <v/>
      </c>
    </row>
    <row r="87" spans="1:13">
      <c r="A87" s="2"/>
      <c r="B87" s="5"/>
      <c r="C87" s="2"/>
      <c r="D87" s="2"/>
      <c r="E87" s="2"/>
      <c r="F87" s="2"/>
      <c r="G87" s="2"/>
      <c r="H87" s="2"/>
      <c r="I87" s="3"/>
      <c r="J87" s="2"/>
      <c r="K87" s="2"/>
      <c r="L87" s="2"/>
      <c r="M87" t="str">
        <f t="shared" si="1"/>
        <v/>
      </c>
    </row>
    <row r="88" spans="1:13">
      <c r="A88" s="2"/>
      <c r="B88" s="5"/>
      <c r="C88" s="2"/>
      <c r="D88" s="2"/>
      <c r="E88" s="2"/>
      <c r="F88" s="2"/>
      <c r="G88" s="2"/>
      <c r="H88" s="2"/>
      <c r="I88" s="3"/>
      <c r="J88" s="2"/>
      <c r="K88" s="2"/>
      <c r="L88" s="2"/>
      <c r="M88" t="str">
        <f t="shared" si="1"/>
        <v/>
      </c>
    </row>
    <row r="89" spans="1:13">
      <c r="A89" s="2"/>
      <c r="B89" s="5"/>
      <c r="C89" s="2"/>
      <c r="D89" s="2"/>
      <c r="E89" s="2"/>
      <c r="F89" s="2"/>
      <c r="G89" s="2"/>
      <c r="H89" s="2"/>
      <c r="I89" s="3"/>
      <c r="J89" s="2"/>
      <c r="K89" s="2"/>
      <c r="L89" s="2"/>
      <c r="M89" t="str">
        <f t="shared" si="1"/>
        <v/>
      </c>
    </row>
    <row r="90" spans="1:13">
      <c r="A90" s="2"/>
      <c r="B90" s="5"/>
      <c r="C90" s="2"/>
      <c r="D90" s="2"/>
      <c r="E90" s="2"/>
      <c r="F90" s="2"/>
      <c r="G90" s="2"/>
      <c r="H90" s="2"/>
      <c r="I90" s="3"/>
      <c r="J90" s="2"/>
      <c r="K90" s="2"/>
      <c r="L90" s="2"/>
      <c r="M90" t="str">
        <f t="shared" si="1"/>
        <v/>
      </c>
    </row>
    <row r="91" spans="1:13">
      <c r="A91" s="2"/>
      <c r="B91" s="5"/>
      <c r="C91" s="2"/>
      <c r="D91" s="2"/>
      <c r="E91" s="2"/>
      <c r="F91" s="2"/>
      <c r="G91" s="2"/>
      <c r="H91" s="2"/>
      <c r="I91" s="3"/>
      <c r="J91" s="2"/>
      <c r="K91" s="2"/>
      <c r="L91" s="2"/>
      <c r="M91" t="str">
        <f t="shared" si="1"/>
        <v/>
      </c>
    </row>
    <row r="92" spans="1:13">
      <c r="A92" s="2"/>
      <c r="B92" s="5"/>
      <c r="C92" s="2"/>
      <c r="D92" s="2"/>
      <c r="E92" s="2"/>
      <c r="F92" s="2"/>
      <c r="G92" s="2"/>
      <c r="H92" s="2"/>
      <c r="I92" s="3"/>
      <c r="J92" s="2"/>
      <c r="K92" s="2"/>
      <c r="L92" s="2"/>
      <c r="M92" t="str">
        <f t="shared" si="1"/>
        <v/>
      </c>
    </row>
    <row r="93" spans="1:13">
      <c r="A93" s="2"/>
      <c r="B93" s="5"/>
      <c r="C93" s="2"/>
      <c r="D93" s="2"/>
      <c r="E93" s="2"/>
      <c r="F93" s="2"/>
      <c r="G93" s="2"/>
      <c r="H93" s="2"/>
      <c r="I93" s="3"/>
      <c r="J93" s="2"/>
      <c r="K93" s="2"/>
      <c r="L93" s="2"/>
      <c r="M93" t="str">
        <f t="shared" si="1"/>
        <v/>
      </c>
    </row>
    <row r="94" spans="1:13">
      <c r="A94" s="2"/>
      <c r="B94" s="5"/>
      <c r="C94" s="2"/>
      <c r="D94" s="2"/>
      <c r="E94" s="2"/>
      <c r="F94" s="2"/>
      <c r="G94" s="2"/>
      <c r="H94" s="2"/>
      <c r="I94" s="3"/>
      <c r="J94" s="2"/>
      <c r="K94" s="2"/>
      <c r="L94" s="2"/>
      <c r="M94" t="str">
        <f t="shared" si="1"/>
        <v/>
      </c>
    </row>
    <row r="95" spans="1:13">
      <c r="A95" s="2"/>
      <c r="B95" s="5"/>
      <c r="C95" s="2"/>
      <c r="D95" s="2"/>
      <c r="E95" s="2"/>
      <c r="F95" s="2"/>
      <c r="G95" s="2"/>
      <c r="H95" s="2"/>
      <c r="I95" s="3"/>
      <c r="J95" s="2"/>
      <c r="K95" s="2"/>
      <c r="L95" s="2"/>
      <c r="M95" t="str">
        <f t="shared" si="1"/>
        <v/>
      </c>
    </row>
    <row r="96" spans="1:13">
      <c r="A96" s="2"/>
      <c r="B96" s="5"/>
      <c r="C96" s="2"/>
      <c r="D96" s="2"/>
      <c r="E96" s="2"/>
      <c r="F96" s="2"/>
      <c r="G96" s="2"/>
      <c r="H96" s="2"/>
      <c r="I96" s="3"/>
      <c r="J96" s="2"/>
      <c r="K96" s="2"/>
      <c r="L96" s="2"/>
      <c r="M96" t="str">
        <f t="shared" si="1"/>
        <v/>
      </c>
    </row>
    <row r="97" spans="1:13">
      <c r="A97" s="2"/>
      <c r="B97" s="5"/>
      <c r="C97" s="2"/>
      <c r="D97" s="2"/>
      <c r="E97" s="2"/>
      <c r="F97" s="2"/>
      <c r="G97" s="2"/>
      <c r="H97" s="2"/>
      <c r="I97" s="3"/>
      <c r="J97" s="2"/>
      <c r="K97" s="2"/>
      <c r="L97" s="2"/>
      <c r="M97" t="str">
        <f t="shared" si="1"/>
        <v/>
      </c>
    </row>
    <row r="98" spans="1:13">
      <c r="A98" s="2"/>
      <c r="B98" s="5"/>
      <c r="C98" s="2"/>
      <c r="D98" s="2"/>
      <c r="E98" s="2"/>
      <c r="F98" s="2"/>
      <c r="G98" s="2"/>
      <c r="H98" s="2"/>
      <c r="I98" s="3"/>
      <c r="J98" s="2"/>
      <c r="K98" s="2"/>
      <c r="L98" s="2"/>
      <c r="M98" t="str">
        <f t="shared" si="1"/>
        <v/>
      </c>
    </row>
    <row r="99" spans="1:13">
      <c r="A99" s="2"/>
      <c r="B99" s="5"/>
      <c r="C99" s="2"/>
      <c r="D99" s="2"/>
      <c r="E99" s="2"/>
      <c r="F99" s="2"/>
      <c r="G99" s="2"/>
      <c r="H99" s="2"/>
      <c r="I99" s="3"/>
      <c r="J99" s="2"/>
      <c r="K99" s="2"/>
      <c r="L99" s="2"/>
      <c r="M99" t="str">
        <f t="shared" si="1"/>
        <v/>
      </c>
    </row>
    <row r="100" spans="1:13">
      <c r="A100" s="2"/>
      <c r="B100" s="5"/>
      <c r="C100" s="2"/>
      <c r="D100" s="2"/>
      <c r="E100" s="2"/>
      <c r="F100" s="2"/>
      <c r="G100" s="2"/>
      <c r="H100" s="2"/>
      <c r="I100" s="3"/>
      <c r="J100" s="2"/>
      <c r="K100" s="2"/>
      <c r="L100" s="2"/>
      <c r="M100" t="str">
        <f t="shared" si="1"/>
        <v/>
      </c>
    </row>
    <row r="101" spans="1:13">
      <c r="A101" s="2"/>
      <c r="B101" s="5"/>
      <c r="C101" s="2"/>
      <c r="D101" s="2"/>
      <c r="E101" s="2"/>
      <c r="F101" s="2"/>
      <c r="G101" s="2"/>
      <c r="H101" s="2"/>
      <c r="I101" s="3"/>
      <c r="J101" s="2"/>
      <c r="K101" s="2"/>
      <c r="L101" s="2"/>
      <c r="M101" t="str">
        <f t="shared" si="1"/>
        <v/>
      </c>
    </row>
    <row r="102" spans="1:13">
      <c r="A102" s="2"/>
      <c r="B102" s="5"/>
      <c r="C102" s="2"/>
      <c r="D102" s="2"/>
      <c r="E102" s="2"/>
      <c r="F102" s="2"/>
      <c r="G102" s="2"/>
      <c r="H102" s="2"/>
      <c r="I102" s="3"/>
      <c r="J102" s="2"/>
      <c r="K102" s="2"/>
      <c r="L102" s="2"/>
      <c r="M102" t="str">
        <f t="shared" si="1"/>
        <v/>
      </c>
    </row>
    <row r="103" spans="1:13">
      <c r="A103" s="2"/>
      <c r="B103" s="5"/>
      <c r="C103" s="2"/>
      <c r="D103" s="2"/>
      <c r="E103" s="2"/>
      <c r="F103" s="2"/>
      <c r="G103" s="2"/>
      <c r="H103" s="2"/>
      <c r="I103" s="3"/>
      <c r="J103" s="2"/>
      <c r="K103" s="2"/>
      <c r="L103" s="2"/>
      <c r="M103" t="str">
        <f t="shared" si="1"/>
        <v/>
      </c>
    </row>
    <row r="104" spans="1:13">
      <c r="A104" s="2"/>
      <c r="B104" s="5"/>
      <c r="C104" s="2"/>
      <c r="D104" s="2"/>
      <c r="E104" s="2"/>
      <c r="F104" s="2"/>
      <c r="G104" s="2"/>
      <c r="H104" s="2"/>
      <c r="I104" s="3"/>
      <c r="J104" s="2"/>
      <c r="K104" s="2"/>
      <c r="L104" s="2"/>
      <c r="M104" t="str">
        <f t="shared" si="1"/>
        <v/>
      </c>
    </row>
    <row r="105" spans="1:13">
      <c r="A105" s="2"/>
      <c r="B105" s="5"/>
      <c r="C105" s="2"/>
      <c r="D105" s="2"/>
      <c r="E105" s="2"/>
      <c r="F105" s="2"/>
      <c r="G105" s="2"/>
      <c r="H105" s="2"/>
      <c r="I105" s="3"/>
      <c r="J105" s="2"/>
      <c r="K105" s="2"/>
      <c r="L105" s="2"/>
      <c r="M105" t="str">
        <f t="shared" si="1"/>
        <v/>
      </c>
    </row>
    <row r="106" spans="1:13">
      <c r="A106" s="2"/>
      <c r="B106" s="5"/>
      <c r="C106" s="2"/>
      <c r="D106" s="2"/>
      <c r="E106" s="2"/>
      <c r="F106" s="2"/>
      <c r="G106" s="2"/>
      <c r="H106" s="2"/>
      <c r="I106" s="3"/>
      <c r="J106" s="2"/>
      <c r="K106" s="2"/>
      <c r="L106" s="2"/>
      <c r="M106" t="str">
        <f t="shared" si="1"/>
        <v/>
      </c>
    </row>
    <row r="107" spans="1:13">
      <c r="A107" s="2"/>
      <c r="B107" s="5"/>
      <c r="C107" s="2"/>
      <c r="D107" s="2"/>
      <c r="E107" s="2"/>
      <c r="F107" s="2"/>
      <c r="G107" s="2"/>
      <c r="H107" s="2"/>
      <c r="I107" s="3"/>
      <c r="J107" s="2"/>
      <c r="K107" s="2"/>
      <c r="L107" s="2"/>
      <c r="M107" t="str">
        <f t="shared" si="1"/>
        <v/>
      </c>
    </row>
    <row r="108" spans="1:13">
      <c r="A108" s="2"/>
      <c r="B108" s="5"/>
      <c r="C108" s="2"/>
      <c r="D108" s="2"/>
      <c r="E108" s="2"/>
      <c r="F108" s="2"/>
      <c r="G108" s="2"/>
      <c r="H108" s="2"/>
      <c r="I108" s="3"/>
      <c r="J108" s="2"/>
      <c r="K108" s="2"/>
      <c r="L108" s="2"/>
      <c r="M108" t="str">
        <f t="shared" si="1"/>
        <v/>
      </c>
    </row>
    <row r="109" spans="1:13">
      <c r="A109" s="2"/>
      <c r="B109" s="5"/>
      <c r="C109" s="2"/>
      <c r="D109" s="2"/>
      <c r="E109" s="2"/>
      <c r="F109" s="2"/>
      <c r="G109" s="2"/>
      <c r="H109" s="2"/>
      <c r="I109" s="3"/>
      <c r="J109" s="2"/>
      <c r="K109" s="2"/>
      <c r="L109" s="2"/>
      <c r="M109" t="str">
        <f t="shared" si="1"/>
        <v/>
      </c>
    </row>
    <row r="110" spans="1:13">
      <c r="A110" s="2"/>
      <c r="B110" s="5"/>
      <c r="C110" s="2"/>
      <c r="D110" s="2"/>
      <c r="E110" s="2"/>
      <c r="F110" s="2"/>
      <c r="G110" s="2"/>
      <c r="H110" s="2"/>
      <c r="I110" s="3"/>
      <c r="J110" s="2"/>
      <c r="K110" s="2"/>
      <c r="L110" s="2"/>
      <c r="M110" t="str">
        <f t="shared" si="1"/>
        <v/>
      </c>
    </row>
    <row r="111" spans="1:13">
      <c r="A111" s="2"/>
      <c r="B111" s="5"/>
      <c r="C111" s="2"/>
      <c r="D111" s="2"/>
      <c r="E111" s="2"/>
      <c r="F111" s="2"/>
      <c r="G111" s="2"/>
      <c r="H111" s="2"/>
      <c r="I111" s="3"/>
      <c r="J111" s="2"/>
      <c r="K111" s="2"/>
      <c r="L111" s="2"/>
      <c r="M111" t="str">
        <f t="shared" si="1"/>
        <v/>
      </c>
    </row>
    <row r="112" spans="1:13">
      <c r="A112" s="2"/>
      <c r="B112" s="5"/>
      <c r="C112" s="2"/>
      <c r="D112" s="2"/>
      <c r="E112" s="2"/>
      <c r="F112" s="2"/>
      <c r="G112" s="2"/>
      <c r="H112" s="2"/>
      <c r="I112" s="3"/>
      <c r="J112" s="2"/>
      <c r="K112" s="2"/>
      <c r="L112" s="2"/>
      <c r="M112" t="str">
        <f t="shared" si="1"/>
        <v/>
      </c>
    </row>
    <row r="113" spans="1:13">
      <c r="A113" s="2"/>
      <c r="B113" s="5"/>
      <c r="C113" s="2"/>
      <c r="D113" s="2"/>
      <c r="E113" s="2"/>
      <c r="F113" s="2"/>
      <c r="G113" s="2"/>
      <c r="H113" s="2"/>
      <c r="I113" s="3"/>
      <c r="J113" s="2"/>
      <c r="K113" s="2"/>
      <c r="L113" s="2"/>
      <c r="M113" t="str">
        <f t="shared" si="1"/>
        <v/>
      </c>
    </row>
    <row r="114" spans="1:13">
      <c r="A114" s="2"/>
      <c r="B114" s="5"/>
      <c r="C114" s="2"/>
      <c r="D114" s="2"/>
      <c r="E114" s="2"/>
      <c r="F114" s="2"/>
      <c r="G114" s="2"/>
      <c r="H114" s="2"/>
      <c r="I114" s="3"/>
      <c r="J114" s="2"/>
      <c r="K114" s="2"/>
      <c r="L114" s="2"/>
      <c r="M114" t="str">
        <f t="shared" si="1"/>
        <v/>
      </c>
    </row>
    <row r="115" spans="1:13">
      <c r="A115" s="2"/>
      <c r="B115" s="5"/>
      <c r="C115" s="2"/>
      <c r="D115" s="2"/>
      <c r="E115" s="2"/>
      <c r="F115" s="2"/>
      <c r="G115" s="2"/>
      <c r="H115" s="2"/>
      <c r="I115" s="3"/>
      <c r="J115" s="2"/>
      <c r="K115" s="2"/>
      <c r="L115" s="2"/>
      <c r="M115" t="str">
        <f t="shared" si="1"/>
        <v/>
      </c>
    </row>
    <row r="116" spans="1:13">
      <c r="A116" s="2"/>
      <c r="B116" s="5"/>
      <c r="C116" s="2"/>
      <c r="D116" s="2"/>
      <c r="E116" s="2"/>
      <c r="F116" s="2"/>
      <c r="G116" s="2"/>
      <c r="H116" s="2"/>
      <c r="I116" s="3"/>
      <c r="J116" s="2"/>
      <c r="K116" s="2"/>
      <c r="L116" s="2"/>
      <c r="M116" t="str">
        <f t="shared" si="1"/>
        <v/>
      </c>
    </row>
    <row r="117" spans="1:13">
      <c r="A117" s="2"/>
      <c r="B117" s="5"/>
      <c r="C117" s="2"/>
      <c r="D117" s="2"/>
      <c r="E117" s="2"/>
      <c r="F117" s="2"/>
      <c r="G117" s="2"/>
      <c r="H117" s="2"/>
      <c r="I117" s="3"/>
      <c r="J117" s="2"/>
      <c r="K117" s="2"/>
      <c r="L117" s="2"/>
      <c r="M117" t="str">
        <f t="shared" si="1"/>
        <v/>
      </c>
    </row>
    <row r="118" spans="1:13">
      <c r="A118" s="2"/>
      <c r="B118" s="5"/>
      <c r="C118" s="2"/>
      <c r="D118" s="2"/>
      <c r="E118" s="2"/>
      <c r="F118" s="2"/>
      <c r="G118" s="2"/>
      <c r="H118" s="2"/>
      <c r="I118" s="3"/>
      <c r="J118" s="2"/>
      <c r="K118" s="2"/>
      <c r="L118" s="2"/>
      <c r="M118" t="str">
        <f t="shared" si="1"/>
        <v/>
      </c>
    </row>
    <row r="119" spans="1:13">
      <c r="A119" s="2"/>
      <c r="B119" s="5"/>
      <c r="C119" s="2"/>
      <c r="D119" s="2"/>
      <c r="E119" s="2"/>
      <c r="F119" s="2"/>
      <c r="G119" s="2"/>
      <c r="H119" s="2"/>
      <c r="I119" s="3"/>
      <c r="J119" s="2"/>
      <c r="K119" s="2"/>
      <c r="L119" s="2"/>
      <c r="M119" t="str">
        <f t="shared" si="1"/>
        <v/>
      </c>
    </row>
    <row r="120" spans="1:13">
      <c r="A120" s="2"/>
      <c r="B120" s="5"/>
      <c r="C120" s="2"/>
      <c r="D120" s="2"/>
      <c r="E120" s="2"/>
      <c r="F120" s="2"/>
      <c r="G120" s="2"/>
      <c r="H120" s="2"/>
      <c r="I120" s="3"/>
      <c r="J120" s="2"/>
      <c r="K120" s="2"/>
      <c r="L120" s="2"/>
      <c r="M120" t="str">
        <f t="shared" si="1"/>
        <v/>
      </c>
    </row>
    <row r="121" spans="1:13">
      <c r="A121" s="2"/>
      <c r="B121" s="5"/>
      <c r="C121" s="2"/>
      <c r="D121" s="2"/>
      <c r="E121" s="2"/>
      <c r="F121" s="2"/>
      <c r="G121" s="2"/>
      <c r="H121" s="2"/>
      <c r="I121" s="3"/>
      <c r="J121" s="2"/>
      <c r="K121" s="2"/>
      <c r="L121" s="2"/>
      <c r="M121" t="str">
        <f t="shared" si="1"/>
        <v/>
      </c>
    </row>
    <row r="122" spans="1:13">
      <c r="A122" s="2"/>
      <c r="B122" s="5"/>
      <c r="C122" s="2"/>
      <c r="D122" s="2"/>
      <c r="E122" s="2"/>
      <c r="F122" s="2"/>
      <c r="G122" s="2"/>
      <c r="H122" s="2"/>
      <c r="I122" s="3"/>
      <c r="J122" s="2"/>
      <c r="K122" s="2"/>
      <c r="L122" s="2"/>
      <c r="M122" t="str">
        <f t="shared" si="1"/>
        <v/>
      </c>
    </row>
    <row r="123" spans="1:13">
      <c r="A123" s="2"/>
      <c r="B123" s="5"/>
      <c r="C123" s="2"/>
      <c r="D123" s="2"/>
      <c r="E123" s="2"/>
      <c r="F123" s="2"/>
      <c r="G123" s="2"/>
      <c r="H123" s="2"/>
      <c r="I123" s="3"/>
      <c r="J123" s="2"/>
      <c r="K123" s="2"/>
      <c r="L123" s="2"/>
      <c r="M123" t="str">
        <f t="shared" si="1"/>
        <v/>
      </c>
    </row>
    <row r="124" spans="1:13">
      <c r="A124" s="2"/>
      <c r="B124" s="5"/>
      <c r="C124" s="2"/>
      <c r="D124" s="2"/>
      <c r="E124" s="2"/>
      <c r="F124" s="2"/>
      <c r="G124" s="2"/>
      <c r="H124" s="2"/>
      <c r="I124" s="3"/>
      <c r="J124" s="2"/>
      <c r="K124" s="2"/>
      <c r="L124" s="2"/>
      <c r="M124" t="str">
        <f t="shared" si="1"/>
        <v/>
      </c>
    </row>
    <row r="125" spans="1:13">
      <c r="A125" s="2"/>
      <c r="B125" s="5"/>
      <c r="C125" s="2"/>
      <c r="D125" s="2"/>
      <c r="E125" s="2"/>
      <c r="F125" s="2"/>
      <c r="G125" s="2"/>
      <c r="H125" s="2"/>
      <c r="I125" s="3"/>
      <c r="J125" s="2"/>
      <c r="K125" s="2"/>
      <c r="L125" s="2"/>
      <c r="M125" t="str">
        <f t="shared" si="1"/>
        <v/>
      </c>
    </row>
    <row r="126" spans="1:13">
      <c r="A126" s="2"/>
      <c r="B126" s="5"/>
      <c r="C126" s="2"/>
      <c r="D126" s="2"/>
      <c r="E126" s="2"/>
      <c r="F126" s="2"/>
      <c r="G126" s="2"/>
      <c r="H126" s="2"/>
      <c r="I126" s="3"/>
      <c r="J126" s="2"/>
      <c r="K126" s="2"/>
      <c r="L126" s="2"/>
      <c r="M126" t="str">
        <f t="shared" si="1"/>
        <v/>
      </c>
    </row>
    <row r="127" spans="1:13">
      <c r="A127" s="2"/>
      <c r="B127" s="5"/>
      <c r="C127" s="2"/>
      <c r="D127" s="2"/>
      <c r="E127" s="2"/>
      <c r="F127" s="2"/>
      <c r="G127" s="2"/>
      <c r="H127" s="2"/>
      <c r="I127" s="3"/>
      <c r="J127" s="2"/>
      <c r="K127" s="2"/>
      <c r="L127" s="2"/>
      <c r="M127" t="str">
        <f t="shared" si="1"/>
        <v/>
      </c>
    </row>
    <row r="128" spans="1:13">
      <c r="A128" s="2"/>
      <c r="B128" s="5"/>
      <c r="C128" s="2"/>
      <c r="D128" s="2"/>
      <c r="E128" s="2"/>
      <c r="F128" s="2"/>
      <c r="G128" s="2"/>
      <c r="H128" s="2"/>
      <c r="I128" s="3"/>
      <c r="J128" s="2"/>
      <c r="K128" s="2"/>
      <c r="L128" s="2"/>
      <c r="M128" t="str">
        <f t="shared" si="1"/>
        <v/>
      </c>
    </row>
    <row r="129" spans="1:13">
      <c r="A129" s="2"/>
      <c r="B129" s="5"/>
      <c r="C129" s="2"/>
      <c r="D129" s="2"/>
      <c r="E129" s="2"/>
      <c r="F129" s="2"/>
      <c r="G129" s="2"/>
      <c r="H129" s="2"/>
      <c r="I129" s="3"/>
      <c r="J129" s="2"/>
      <c r="K129" s="2"/>
      <c r="L129" s="2"/>
      <c r="M129" t="str">
        <f t="shared" si="1"/>
        <v/>
      </c>
    </row>
    <row r="130" spans="1:13">
      <c r="A130" s="2"/>
      <c r="B130" s="5"/>
      <c r="C130" s="2"/>
      <c r="D130" s="2"/>
      <c r="E130" s="2"/>
      <c r="F130" s="2"/>
      <c r="G130" s="2"/>
      <c r="H130" s="2"/>
      <c r="I130" s="3"/>
      <c r="J130" s="2"/>
      <c r="K130" s="2"/>
      <c r="L130" s="2"/>
      <c r="M130" t="str">
        <f t="shared" si="1"/>
        <v/>
      </c>
    </row>
    <row r="131" spans="1:13">
      <c r="A131" s="2"/>
      <c r="B131" s="5"/>
      <c r="C131" s="2"/>
      <c r="D131" s="2"/>
      <c r="E131" s="2"/>
      <c r="F131" s="2"/>
      <c r="G131" s="2"/>
      <c r="H131" s="2"/>
      <c r="I131" s="3"/>
      <c r="J131" s="2"/>
      <c r="K131" s="2"/>
      <c r="L131" s="2"/>
      <c r="M131" t="str">
        <f t="shared" si="1"/>
        <v/>
      </c>
    </row>
    <row r="132" spans="1:13">
      <c r="A132" s="2"/>
      <c r="B132" s="5"/>
      <c r="C132" s="2"/>
      <c r="D132" s="2"/>
      <c r="E132" s="2"/>
      <c r="F132" s="2"/>
      <c r="G132" s="2"/>
      <c r="H132" s="2"/>
      <c r="I132" s="3"/>
      <c r="J132" s="2"/>
      <c r="K132" s="2"/>
      <c r="L132" s="2"/>
      <c r="M132" t="str">
        <f t="shared" si="1"/>
        <v/>
      </c>
    </row>
    <row r="133" spans="1:13">
      <c r="A133" s="2"/>
      <c r="B133" s="5"/>
      <c r="C133" s="2"/>
      <c r="D133" s="2"/>
      <c r="E133" s="2"/>
      <c r="F133" s="2"/>
      <c r="G133" s="2"/>
      <c r="H133" s="2"/>
      <c r="I133" s="3"/>
      <c r="J133" s="2"/>
      <c r="K133" s="2"/>
      <c r="L133" s="2"/>
      <c r="M133" t="str">
        <f t="shared" ref="M133:M196" si="2">IF(B133="","",TEXT(B133,"mmm-yy"))</f>
        <v/>
      </c>
    </row>
    <row r="134" spans="1:13">
      <c r="A134" s="2"/>
      <c r="B134" s="5"/>
      <c r="C134" s="2"/>
      <c r="D134" s="2"/>
      <c r="E134" s="2"/>
      <c r="F134" s="2"/>
      <c r="G134" s="2"/>
      <c r="H134" s="2"/>
      <c r="I134" s="3"/>
      <c r="J134" s="2"/>
      <c r="K134" s="2"/>
      <c r="L134" s="2"/>
      <c r="M134" t="str">
        <f t="shared" si="2"/>
        <v/>
      </c>
    </row>
    <row r="135" spans="1:13">
      <c r="A135" s="2"/>
      <c r="B135" s="5"/>
      <c r="C135" s="2"/>
      <c r="D135" s="2"/>
      <c r="E135" s="2"/>
      <c r="F135" s="2"/>
      <c r="G135" s="2"/>
      <c r="H135" s="2"/>
      <c r="I135" s="3"/>
      <c r="J135" s="2"/>
      <c r="K135" s="2"/>
      <c r="L135" s="2"/>
      <c r="M135" t="str">
        <f t="shared" si="2"/>
        <v/>
      </c>
    </row>
    <row r="136" spans="1:13">
      <c r="A136" s="2"/>
      <c r="B136" s="5"/>
      <c r="C136" s="2"/>
      <c r="D136" s="2"/>
      <c r="E136" s="2"/>
      <c r="F136" s="2"/>
      <c r="G136" s="2"/>
      <c r="H136" s="2"/>
      <c r="I136" s="3"/>
      <c r="J136" s="2"/>
      <c r="K136" s="2"/>
      <c r="L136" s="2"/>
      <c r="M136" t="str">
        <f t="shared" si="2"/>
        <v/>
      </c>
    </row>
    <row r="137" spans="1:13">
      <c r="A137" s="2"/>
      <c r="B137" s="5"/>
      <c r="C137" s="2"/>
      <c r="D137" s="2"/>
      <c r="E137" s="2"/>
      <c r="F137" s="2"/>
      <c r="G137" s="2"/>
      <c r="H137" s="2"/>
      <c r="I137" s="3"/>
      <c r="J137" s="2"/>
      <c r="K137" s="2"/>
      <c r="L137" s="2"/>
      <c r="M137" t="str">
        <f t="shared" si="2"/>
        <v/>
      </c>
    </row>
    <row r="138" spans="1:13">
      <c r="A138" s="2"/>
      <c r="B138" s="5"/>
      <c r="C138" s="2"/>
      <c r="D138" s="2"/>
      <c r="E138" s="2"/>
      <c r="F138" s="2"/>
      <c r="G138" s="2"/>
      <c r="H138" s="2"/>
      <c r="I138" s="3"/>
      <c r="J138" s="2"/>
      <c r="K138" s="2"/>
      <c r="L138" s="2"/>
      <c r="M138" t="str">
        <f t="shared" si="2"/>
        <v/>
      </c>
    </row>
    <row r="139" spans="1:13">
      <c r="A139" s="2"/>
      <c r="B139" s="5"/>
      <c r="C139" s="2"/>
      <c r="D139" s="2"/>
      <c r="E139" s="2"/>
      <c r="F139" s="2"/>
      <c r="G139" s="2"/>
      <c r="H139" s="2"/>
      <c r="I139" s="3"/>
      <c r="J139" s="2"/>
      <c r="K139" s="2"/>
      <c r="L139" s="2"/>
      <c r="M139" t="str">
        <f t="shared" si="2"/>
        <v/>
      </c>
    </row>
    <row r="140" spans="1:13">
      <c r="A140" s="2"/>
      <c r="B140" s="5"/>
      <c r="C140" s="2"/>
      <c r="D140" s="2"/>
      <c r="E140" s="2"/>
      <c r="F140" s="2"/>
      <c r="G140" s="2"/>
      <c r="H140" s="2"/>
      <c r="I140" s="3"/>
      <c r="J140" s="2"/>
      <c r="K140" s="2"/>
      <c r="L140" s="2"/>
      <c r="M140" t="str">
        <f t="shared" si="2"/>
        <v/>
      </c>
    </row>
    <row r="141" spans="1:13">
      <c r="A141" s="2"/>
      <c r="B141" s="5"/>
      <c r="C141" s="2"/>
      <c r="D141" s="2"/>
      <c r="E141" s="2"/>
      <c r="F141" s="2"/>
      <c r="G141" s="2"/>
      <c r="H141" s="2"/>
      <c r="I141" s="3"/>
      <c r="J141" s="2"/>
      <c r="K141" s="2"/>
      <c r="L141" s="2"/>
      <c r="M141" t="str">
        <f t="shared" si="2"/>
        <v/>
      </c>
    </row>
    <row r="142" spans="1:13">
      <c r="A142" s="2"/>
      <c r="B142" s="5"/>
      <c r="C142" s="2"/>
      <c r="D142" s="2"/>
      <c r="E142" s="2"/>
      <c r="F142" s="2"/>
      <c r="G142" s="2"/>
      <c r="H142" s="2"/>
      <c r="I142" s="3"/>
      <c r="J142" s="2"/>
      <c r="K142" s="2"/>
      <c r="L142" s="2"/>
      <c r="M142" t="str">
        <f t="shared" si="2"/>
        <v/>
      </c>
    </row>
    <row r="143" spans="1:13">
      <c r="A143" s="2"/>
      <c r="B143" s="5"/>
      <c r="C143" s="2"/>
      <c r="D143" s="2"/>
      <c r="E143" s="2"/>
      <c r="F143" s="2"/>
      <c r="G143" s="2"/>
      <c r="H143" s="2"/>
      <c r="I143" s="3"/>
      <c r="J143" s="2"/>
      <c r="K143" s="2"/>
      <c r="L143" s="2"/>
      <c r="M143" t="str">
        <f t="shared" si="2"/>
        <v/>
      </c>
    </row>
    <row r="144" spans="1:13">
      <c r="A144" s="2"/>
      <c r="B144" s="5"/>
      <c r="C144" s="2"/>
      <c r="D144" s="2"/>
      <c r="E144" s="2"/>
      <c r="F144" s="2"/>
      <c r="G144" s="2"/>
      <c r="H144" s="2"/>
      <c r="I144" s="3"/>
      <c r="J144" s="2"/>
      <c r="K144" s="2"/>
      <c r="L144" s="2"/>
      <c r="M144" t="str">
        <f t="shared" si="2"/>
        <v/>
      </c>
    </row>
    <row r="145" spans="1:13">
      <c r="A145" s="2"/>
      <c r="B145" s="5"/>
      <c r="C145" s="2"/>
      <c r="D145" s="2"/>
      <c r="E145" s="2"/>
      <c r="F145" s="2"/>
      <c r="G145" s="2"/>
      <c r="H145" s="2"/>
      <c r="I145" s="3"/>
      <c r="J145" s="2"/>
      <c r="K145" s="2"/>
      <c r="L145" s="2"/>
      <c r="M145" t="str">
        <f t="shared" si="2"/>
        <v/>
      </c>
    </row>
    <row r="146" spans="1:13">
      <c r="A146" s="2"/>
      <c r="B146" s="5"/>
      <c r="C146" s="2"/>
      <c r="D146" s="2"/>
      <c r="E146" s="2"/>
      <c r="F146" s="2"/>
      <c r="G146" s="2"/>
      <c r="H146" s="2"/>
      <c r="I146" s="3"/>
      <c r="J146" s="2"/>
      <c r="K146" s="2"/>
      <c r="L146" s="2"/>
      <c r="M146" t="str">
        <f t="shared" si="2"/>
        <v/>
      </c>
    </row>
    <row r="147" spans="1:13">
      <c r="A147" s="2"/>
      <c r="B147" s="5"/>
      <c r="C147" s="2"/>
      <c r="D147" s="2"/>
      <c r="E147" s="2"/>
      <c r="F147" s="2"/>
      <c r="G147" s="2"/>
      <c r="H147" s="2"/>
      <c r="I147" s="3"/>
      <c r="J147" s="2"/>
      <c r="K147" s="2"/>
      <c r="L147" s="2"/>
      <c r="M147" t="str">
        <f t="shared" si="2"/>
        <v/>
      </c>
    </row>
    <row r="148" spans="1:13">
      <c r="A148" s="2"/>
      <c r="B148" s="5"/>
      <c r="C148" s="2"/>
      <c r="D148" s="2"/>
      <c r="E148" s="2"/>
      <c r="F148" s="2"/>
      <c r="G148" s="2"/>
      <c r="H148" s="2"/>
      <c r="I148" s="3"/>
      <c r="J148" s="2"/>
      <c r="K148" s="2"/>
      <c r="L148" s="2"/>
      <c r="M148" t="str">
        <f t="shared" si="2"/>
        <v/>
      </c>
    </row>
    <row r="149" spans="1:13">
      <c r="A149" s="2"/>
      <c r="B149" s="5"/>
      <c r="C149" s="2"/>
      <c r="D149" s="2"/>
      <c r="E149" s="2"/>
      <c r="F149" s="2"/>
      <c r="G149" s="2"/>
      <c r="H149" s="2"/>
      <c r="I149" s="3"/>
      <c r="J149" s="2"/>
      <c r="K149" s="2"/>
      <c r="L149" s="2"/>
      <c r="M149" t="str">
        <f t="shared" si="2"/>
        <v/>
      </c>
    </row>
    <row r="150" spans="1:13">
      <c r="A150" s="2"/>
      <c r="B150" s="5"/>
      <c r="C150" s="2"/>
      <c r="D150" s="2"/>
      <c r="E150" s="2"/>
      <c r="F150" s="2"/>
      <c r="G150" s="2"/>
      <c r="H150" s="2"/>
      <c r="I150" s="3"/>
      <c r="J150" s="2"/>
      <c r="K150" s="2"/>
      <c r="L150" s="2"/>
      <c r="M150" t="str">
        <f t="shared" si="2"/>
        <v/>
      </c>
    </row>
    <row r="151" spans="1:13">
      <c r="A151" s="2"/>
      <c r="B151" s="5"/>
      <c r="C151" s="2"/>
      <c r="D151" s="2"/>
      <c r="E151" s="2"/>
      <c r="F151" s="2"/>
      <c r="G151" s="2"/>
      <c r="H151" s="2"/>
      <c r="I151" s="3"/>
      <c r="J151" s="2"/>
      <c r="K151" s="2"/>
      <c r="L151" s="2"/>
      <c r="M151" t="str">
        <f t="shared" si="2"/>
        <v/>
      </c>
    </row>
    <row r="152" spans="1:13">
      <c r="A152" s="2"/>
      <c r="B152" s="5"/>
      <c r="C152" s="2"/>
      <c r="D152" s="2"/>
      <c r="E152" s="2"/>
      <c r="F152" s="2"/>
      <c r="G152" s="2"/>
      <c r="H152" s="2"/>
      <c r="I152" s="3"/>
      <c r="J152" s="2"/>
      <c r="K152" s="2"/>
      <c r="L152" s="2"/>
      <c r="M152" t="str">
        <f t="shared" si="2"/>
        <v/>
      </c>
    </row>
    <row r="153" spans="1:13">
      <c r="A153" s="2"/>
      <c r="B153" s="5"/>
      <c r="C153" s="2"/>
      <c r="D153" s="2"/>
      <c r="E153" s="2"/>
      <c r="F153" s="2"/>
      <c r="G153" s="2"/>
      <c r="H153" s="2"/>
      <c r="I153" s="3"/>
      <c r="J153" s="2"/>
      <c r="K153" s="2"/>
      <c r="L153" s="2"/>
      <c r="M153" t="str">
        <f t="shared" si="2"/>
        <v/>
      </c>
    </row>
    <row r="154" spans="1:13">
      <c r="A154" s="2"/>
      <c r="B154" s="5"/>
      <c r="C154" s="2"/>
      <c r="D154" s="2"/>
      <c r="E154" s="2"/>
      <c r="F154" s="2"/>
      <c r="G154" s="2"/>
      <c r="H154" s="2"/>
      <c r="I154" s="3"/>
      <c r="J154" s="2"/>
      <c r="K154" s="2"/>
      <c r="L154" s="2"/>
      <c r="M154" t="str">
        <f t="shared" si="2"/>
        <v/>
      </c>
    </row>
    <row r="155" spans="1:13">
      <c r="A155" s="2"/>
      <c r="B155" s="5"/>
      <c r="C155" s="2"/>
      <c r="D155" s="2"/>
      <c r="E155" s="2"/>
      <c r="F155" s="2"/>
      <c r="G155" s="2"/>
      <c r="H155" s="2"/>
      <c r="I155" s="3"/>
      <c r="J155" s="2"/>
      <c r="K155" s="2"/>
      <c r="L155" s="2"/>
      <c r="M155" t="str">
        <f t="shared" si="2"/>
        <v/>
      </c>
    </row>
    <row r="156" spans="1:13">
      <c r="A156" s="2"/>
      <c r="B156" s="5"/>
      <c r="C156" s="2"/>
      <c r="D156" s="2"/>
      <c r="E156" s="2"/>
      <c r="F156" s="2"/>
      <c r="G156" s="2"/>
      <c r="H156" s="2"/>
      <c r="I156" s="3"/>
      <c r="J156" s="2"/>
      <c r="K156" s="2"/>
      <c r="L156" s="2"/>
      <c r="M156" t="str">
        <f t="shared" si="2"/>
        <v/>
      </c>
    </row>
    <row r="157" spans="1:13">
      <c r="A157" s="2"/>
      <c r="B157" s="5"/>
      <c r="C157" s="2"/>
      <c r="D157" s="2"/>
      <c r="E157" s="2"/>
      <c r="F157" s="2"/>
      <c r="G157" s="2"/>
      <c r="H157" s="2"/>
      <c r="I157" s="3"/>
      <c r="J157" s="2"/>
      <c r="K157" s="2"/>
      <c r="L157" s="2"/>
      <c r="M157" t="str">
        <f t="shared" si="2"/>
        <v/>
      </c>
    </row>
    <row r="158" spans="1:13">
      <c r="A158" s="2"/>
      <c r="B158" s="5"/>
      <c r="C158" s="2"/>
      <c r="D158" s="2"/>
      <c r="E158" s="2"/>
      <c r="F158" s="2"/>
      <c r="G158" s="2"/>
      <c r="H158" s="2"/>
      <c r="I158" s="3"/>
      <c r="J158" s="2"/>
      <c r="K158" s="2"/>
      <c r="L158" s="2"/>
      <c r="M158" t="str">
        <f t="shared" si="2"/>
        <v/>
      </c>
    </row>
    <row r="159" spans="1:13">
      <c r="A159" s="2"/>
      <c r="B159" s="5"/>
      <c r="C159" s="2"/>
      <c r="D159" s="2"/>
      <c r="E159" s="2"/>
      <c r="F159" s="2"/>
      <c r="G159" s="2"/>
      <c r="H159" s="2"/>
      <c r="I159" s="3"/>
      <c r="J159" s="2"/>
      <c r="K159" s="2"/>
      <c r="L159" s="2"/>
      <c r="M159" t="str">
        <f t="shared" si="2"/>
        <v/>
      </c>
    </row>
    <row r="160" spans="1:13">
      <c r="A160" s="2"/>
      <c r="B160" s="5"/>
      <c r="C160" s="2"/>
      <c r="D160" s="2"/>
      <c r="E160" s="2"/>
      <c r="F160" s="2"/>
      <c r="G160" s="2"/>
      <c r="H160" s="2"/>
      <c r="I160" s="3"/>
      <c r="J160" s="2"/>
      <c r="K160" s="2"/>
      <c r="L160" s="2"/>
      <c r="M160" t="str">
        <f t="shared" si="2"/>
        <v/>
      </c>
    </row>
    <row r="161" spans="1:13">
      <c r="A161" s="2"/>
      <c r="B161" s="5"/>
      <c r="C161" s="2"/>
      <c r="D161" s="2"/>
      <c r="E161" s="2"/>
      <c r="F161" s="2"/>
      <c r="G161" s="2"/>
      <c r="H161" s="2"/>
      <c r="I161" s="3"/>
      <c r="J161" s="2"/>
      <c r="K161" s="2"/>
      <c r="L161" s="2"/>
      <c r="M161" t="str">
        <f t="shared" si="2"/>
        <v/>
      </c>
    </row>
    <row r="162" spans="1:13">
      <c r="A162" s="2"/>
      <c r="B162" s="5"/>
      <c r="C162" s="2"/>
      <c r="D162" s="2"/>
      <c r="E162" s="2"/>
      <c r="F162" s="2"/>
      <c r="G162" s="2"/>
      <c r="H162" s="2"/>
      <c r="I162" s="3"/>
      <c r="J162" s="2"/>
      <c r="K162" s="2"/>
      <c r="L162" s="2"/>
      <c r="M162" t="str">
        <f t="shared" si="2"/>
        <v/>
      </c>
    </row>
    <row r="163" spans="1:13">
      <c r="A163" s="2"/>
      <c r="B163" s="5"/>
      <c r="C163" s="2"/>
      <c r="D163" s="2"/>
      <c r="E163" s="2"/>
      <c r="F163" s="2"/>
      <c r="G163" s="2"/>
      <c r="H163" s="2"/>
      <c r="I163" s="3"/>
      <c r="J163" s="2"/>
      <c r="K163" s="2"/>
      <c r="L163" s="2"/>
      <c r="M163" t="str">
        <f t="shared" si="2"/>
        <v/>
      </c>
    </row>
    <row r="164" spans="1:13">
      <c r="A164" s="2"/>
      <c r="B164" s="5"/>
      <c r="C164" s="2"/>
      <c r="D164" s="2"/>
      <c r="E164" s="2"/>
      <c r="F164" s="2"/>
      <c r="G164" s="2"/>
      <c r="H164" s="2"/>
      <c r="I164" s="3"/>
      <c r="J164" s="2"/>
      <c r="K164" s="2"/>
      <c r="L164" s="2"/>
      <c r="M164" t="str">
        <f t="shared" si="2"/>
        <v/>
      </c>
    </row>
    <row r="165" spans="1:13">
      <c r="A165" s="2"/>
      <c r="B165" s="5"/>
      <c r="C165" s="2"/>
      <c r="D165" s="2"/>
      <c r="E165" s="2"/>
      <c r="F165" s="2"/>
      <c r="G165" s="2"/>
      <c r="H165" s="2"/>
      <c r="I165" s="3"/>
      <c r="J165" s="2"/>
      <c r="K165" s="2"/>
      <c r="L165" s="2"/>
      <c r="M165" t="str">
        <f t="shared" si="2"/>
        <v/>
      </c>
    </row>
    <row r="166" spans="1:13">
      <c r="A166" s="2"/>
      <c r="B166" s="5"/>
      <c r="C166" s="2"/>
      <c r="D166" s="2"/>
      <c r="E166" s="2"/>
      <c r="F166" s="2"/>
      <c r="G166" s="2"/>
      <c r="H166" s="2"/>
      <c r="I166" s="3"/>
      <c r="J166" s="2"/>
      <c r="K166" s="2"/>
      <c r="L166" s="2"/>
      <c r="M166" t="str">
        <f t="shared" si="2"/>
        <v/>
      </c>
    </row>
    <row r="167" spans="1:13">
      <c r="A167" s="2"/>
      <c r="B167" s="5"/>
      <c r="C167" s="2"/>
      <c r="D167" s="2"/>
      <c r="E167" s="2"/>
      <c r="F167" s="2"/>
      <c r="G167" s="2"/>
      <c r="H167" s="2"/>
      <c r="I167" s="3"/>
      <c r="J167" s="2"/>
      <c r="K167" s="2"/>
      <c r="L167" s="2"/>
      <c r="M167" t="str">
        <f t="shared" si="2"/>
        <v/>
      </c>
    </row>
    <row r="168" spans="1:13">
      <c r="A168" s="2"/>
      <c r="B168" s="5"/>
      <c r="C168" s="2"/>
      <c r="D168" s="2"/>
      <c r="E168" s="2"/>
      <c r="F168" s="2"/>
      <c r="G168" s="2"/>
      <c r="H168" s="2"/>
      <c r="I168" s="3"/>
      <c r="J168" s="2"/>
      <c r="K168" s="2"/>
      <c r="L168" s="2"/>
      <c r="M168" t="str">
        <f t="shared" si="2"/>
        <v/>
      </c>
    </row>
    <row r="169" spans="1:13">
      <c r="A169" s="2"/>
      <c r="B169" s="5"/>
      <c r="C169" s="2"/>
      <c r="D169" s="2"/>
      <c r="E169" s="2"/>
      <c r="F169" s="2"/>
      <c r="G169" s="2"/>
      <c r="H169" s="2"/>
      <c r="I169" s="3"/>
      <c r="J169" s="2"/>
      <c r="K169" s="2"/>
      <c r="L169" s="2"/>
      <c r="M169" t="str">
        <f t="shared" si="2"/>
        <v/>
      </c>
    </row>
    <row r="170" spans="1:13">
      <c r="A170" s="2"/>
      <c r="B170" s="5"/>
      <c r="C170" s="2"/>
      <c r="D170" s="2"/>
      <c r="E170" s="2"/>
      <c r="F170" s="2"/>
      <c r="G170" s="2"/>
      <c r="H170" s="2"/>
      <c r="I170" s="3"/>
      <c r="J170" s="2"/>
      <c r="K170" s="2"/>
      <c r="L170" s="2"/>
      <c r="M170" t="str">
        <f t="shared" si="2"/>
        <v/>
      </c>
    </row>
    <row r="171" spans="1:13">
      <c r="A171" s="2"/>
      <c r="B171" s="5"/>
      <c r="C171" s="2"/>
      <c r="D171" s="2"/>
      <c r="E171" s="2"/>
      <c r="F171" s="2"/>
      <c r="G171" s="2"/>
      <c r="H171" s="2"/>
      <c r="I171" s="3"/>
      <c r="J171" s="2"/>
      <c r="K171" s="2"/>
      <c r="L171" s="2"/>
      <c r="M171" t="str">
        <f t="shared" si="2"/>
        <v/>
      </c>
    </row>
    <row r="172" spans="1:13">
      <c r="A172" s="2"/>
      <c r="B172" s="5"/>
      <c r="C172" s="2"/>
      <c r="D172" s="2"/>
      <c r="E172" s="2"/>
      <c r="F172" s="2"/>
      <c r="G172" s="2"/>
      <c r="H172" s="2"/>
      <c r="I172" s="3"/>
      <c r="J172" s="2"/>
      <c r="K172" s="2"/>
      <c r="L172" s="2"/>
      <c r="M172" t="str">
        <f t="shared" si="2"/>
        <v/>
      </c>
    </row>
    <row r="173" spans="1:13">
      <c r="A173" s="2"/>
      <c r="B173" s="5"/>
      <c r="C173" s="2"/>
      <c r="D173" s="2"/>
      <c r="E173" s="2"/>
      <c r="F173" s="2"/>
      <c r="G173" s="2"/>
      <c r="H173" s="2"/>
      <c r="I173" s="3"/>
      <c r="J173" s="2"/>
      <c r="K173" s="2"/>
      <c r="L173" s="2"/>
      <c r="M173" t="str">
        <f t="shared" si="2"/>
        <v/>
      </c>
    </row>
    <row r="174" spans="1:13">
      <c r="A174" s="2"/>
      <c r="B174" s="5"/>
      <c r="C174" s="2"/>
      <c r="D174" s="2"/>
      <c r="E174" s="2"/>
      <c r="F174" s="2"/>
      <c r="G174" s="2"/>
      <c r="H174" s="2"/>
      <c r="I174" s="3"/>
      <c r="J174" s="2"/>
      <c r="K174" s="2"/>
      <c r="L174" s="2"/>
      <c r="M174" t="str">
        <f t="shared" si="2"/>
        <v/>
      </c>
    </row>
    <row r="175" spans="1:13">
      <c r="A175" s="2"/>
      <c r="B175" s="5"/>
      <c r="C175" s="2"/>
      <c r="D175" s="2"/>
      <c r="E175" s="2"/>
      <c r="F175" s="2"/>
      <c r="G175" s="2"/>
      <c r="H175" s="2"/>
      <c r="I175" s="3"/>
      <c r="J175" s="2"/>
      <c r="K175" s="2"/>
      <c r="L175" s="2"/>
      <c r="M175" t="str">
        <f t="shared" si="2"/>
        <v/>
      </c>
    </row>
    <row r="176" spans="1:13">
      <c r="A176" s="2"/>
      <c r="B176" s="5"/>
      <c r="C176" s="2"/>
      <c r="D176" s="2"/>
      <c r="E176" s="2"/>
      <c r="F176" s="2"/>
      <c r="G176" s="2"/>
      <c r="H176" s="2"/>
      <c r="I176" s="3"/>
      <c r="J176" s="2"/>
      <c r="K176" s="2"/>
      <c r="L176" s="2"/>
      <c r="M176" t="str">
        <f t="shared" si="2"/>
        <v/>
      </c>
    </row>
    <row r="177" spans="1:13">
      <c r="A177" s="2"/>
      <c r="B177" s="5"/>
      <c r="C177" s="2"/>
      <c r="D177" s="2"/>
      <c r="E177" s="2"/>
      <c r="F177" s="2"/>
      <c r="G177" s="2"/>
      <c r="H177" s="2"/>
      <c r="I177" s="3"/>
      <c r="J177" s="2"/>
      <c r="K177" s="2"/>
      <c r="L177" s="2"/>
      <c r="M177" t="str">
        <f t="shared" si="2"/>
        <v/>
      </c>
    </row>
    <row r="178" spans="1:13">
      <c r="A178" s="2"/>
      <c r="B178" s="5"/>
      <c r="C178" s="2"/>
      <c r="D178" s="2"/>
      <c r="E178" s="2"/>
      <c r="F178" s="2"/>
      <c r="G178" s="2"/>
      <c r="H178" s="2"/>
      <c r="I178" s="3"/>
      <c r="J178" s="2"/>
      <c r="K178" s="2"/>
      <c r="L178" s="2"/>
      <c r="M178" t="str">
        <f t="shared" si="2"/>
        <v/>
      </c>
    </row>
    <row r="179" spans="1:13">
      <c r="A179" s="2"/>
      <c r="B179" s="5"/>
      <c r="C179" s="2"/>
      <c r="D179" s="2"/>
      <c r="E179" s="2"/>
      <c r="F179" s="2"/>
      <c r="G179" s="2"/>
      <c r="H179" s="2"/>
      <c r="I179" s="3"/>
      <c r="J179" s="2"/>
      <c r="K179" s="2"/>
      <c r="L179" s="2"/>
      <c r="M179" t="str">
        <f t="shared" si="2"/>
        <v/>
      </c>
    </row>
    <row r="180" spans="1:13">
      <c r="A180" s="2"/>
      <c r="B180" s="5"/>
      <c r="C180" s="2"/>
      <c r="D180" s="2"/>
      <c r="E180" s="2"/>
      <c r="F180" s="2"/>
      <c r="G180" s="2"/>
      <c r="H180" s="2"/>
      <c r="I180" s="3"/>
      <c r="J180" s="2"/>
      <c r="K180" s="2"/>
      <c r="L180" s="2"/>
      <c r="M180" t="str">
        <f t="shared" si="2"/>
        <v/>
      </c>
    </row>
    <row r="181" spans="1:13">
      <c r="A181" s="2"/>
      <c r="B181" s="5"/>
      <c r="C181" s="2"/>
      <c r="D181" s="2"/>
      <c r="E181" s="2"/>
      <c r="F181" s="2"/>
      <c r="G181" s="2"/>
      <c r="H181" s="2"/>
      <c r="I181" s="3"/>
      <c r="J181" s="2"/>
      <c r="K181" s="2"/>
      <c r="L181" s="2"/>
      <c r="M181" t="str">
        <f t="shared" si="2"/>
        <v/>
      </c>
    </row>
    <row r="182" spans="1:13">
      <c r="A182" s="2"/>
      <c r="B182" s="5"/>
      <c r="C182" s="2"/>
      <c r="D182" s="2"/>
      <c r="E182" s="2"/>
      <c r="F182" s="2"/>
      <c r="G182" s="2"/>
      <c r="H182" s="2"/>
      <c r="I182" s="3"/>
      <c r="J182" s="2"/>
      <c r="K182" s="2"/>
      <c r="L182" s="2"/>
      <c r="M182" t="str">
        <f t="shared" si="2"/>
        <v/>
      </c>
    </row>
    <row r="183" spans="1:13">
      <c r="A183" s="2"/>
      <c r="B183" s="5"/>
      <c r="C183" s="2"/>
      <c r="D183" s="2"/>
      <c r="E183" s="2"/>
      <c r="F183" s="2"/>
      <c r="G183" s="2"/>
      <c r="H183" s="2"/>
      <c r="I183" s="3"/>
      <c r="J183" s="2"/>
      <c r="K183" s="2"/>
      <c r="L183" s="2"/>
      <c r="M183" t="str">
        <f t="shared" si="2"/>
        <v/>
      </c>
    </row>
    <row r="184" spans="1:13">
      <c r="A184" s="2"/>
      <c r="B184" s="5"/>
      <c r="C184" s="2"/>
      <c r="D184" s="2"/>
      <c r="E184" s="2"/>
      <c r="F184" s="2"/>
      <c r="G184" s="2"/>
      <c r="H184" s="2"/>
      <c r="I184" s="3"/>
      <c r="J184" s="2"/>
      <c r="K184" s="2"/>
      <c r="L184" s="2"/>
      <c r="M184" t="str">
        <f t="shared" si="2"/>
        <v/>
      </c>
    </row>
    <row r="185" spans="1:13">
      <c r="A185" s="2"/>
      <c r="B185" s="5"/>
      <c r="C185" s="2"/>
      <c r="D185" s="2"/>
      <c r="E185" s="2"/>
      <c r="F185" s="2"/>
      <c r="G185" s="2"/>
      <c r="H185" s="2"/>
      <c r="I185" s="3"/>
      <c r="J185" s="2"/>
      <c r="K185" s="2"/>
      <c r="L185" s="2"/>
      <c r="M185" t="str">
        <f t="shared" si="2"/>
        <v/>
      </c>
    </row>
    <row r="186" spans="1:13">
      <c r="A186" s="2"/>
      <c r="B186" s="5"/>
      <c r="C186" s="2"/>
      <c r="D186" s="2"/>
      <c r="E186" s="2"/>
      <c r="F186" s="2"/>
      <c r="G186" s="2"/>
      <c r="H186" s="2"/>
      <c r="I186" s="3"/>
      <c r="J186" s="2"/>
      <c r="K186" s="2"/>
      <c r="L186" s="2"/>
      <c r="M186" t="str">
        <f t="shared" si="2"/>
        <v/>
      </c>
    </row>
    <row r="187" spans="1:13">
      <c r="A187" s="2"/>
      <c r="B187" s="5"/>
      <c r="C187" s="2"/>
      <c r="D187" s="2"/>
      <c r="E187" s="2"/>
      <c r="F187" s="2"/>
      <c r="G187" s="2"/>
      <c r="H187" s="2"/>
      <c r="I187" s="3"/>
      <c r="J187" s="2"/>
      <c r="K187" s="2"/>
      <c r="L187" s="2"/>
      <c r="M187" t="str">
        <f t="shared" si="2"/>
        <v/>
      </c>
    </row>
    <row r="188" spans="1:13">
      <c r="A188" s="2"/>
      <c r="B188" s="5"/>
      <c r="C188" s="2"/>
      <c r="D188" s="2"/>
      <c r="E188" s="2"/>
      <c r="F188" s="2"/>
      <c r="G188" s="2"/>
      <c r="H188" s="2"/>
      <c r="I188" s="3"/>
      <c r="J188" s="2"/>
      <c r="K188" s="2"/>
      <c r="L188" s="2"/>
      <c r="M188" t="str">
        <f t="shared" si="2"/>
        <v/>
      </c>
    </row>
    <row r="189" spans="1:13">
      <c r="A189" s="2"/>
      <c r="B189" s="5"/>
      <c r="C189" s="2"/>
      <c r="D189" s="2"/>
      <c r="E189" s="2"/>
      <c r="F189" s="2"/>
      <c r="G189" s="2"/>
      <c r="H189" s="2"/>
      <c r="I189" s="3"/>
      <c r="J189" s="2"/>
      <c r="K189" s="2"/>
      <c r="L189" s="2"/>
      <c r="M189" t="str">
        <f t="shared" si="2"/>
        <v/>
      </c>
    </row>
    <row r="190" spans="1:13">
      <c r="A190" s="2"/>
      <c r="B190" s="5"/>
      <c r="C190" s="2"/>
      <c r="D190" s="2"/>
      <c r="E190" s="2"/>
      <c r="F190" s="2"/>
      <c r="G190" s="2"/>
      <c r="H190" s="2"/>
      <c r="I190" s="3"/>
      <c r="J190" s="2"/>
      <c r="K190" s="2"/>
      <c r="L190" s="2"/>
      <c r="M190" t="str">
        <f t="shared" si="2"/>
        <v/>
      </c>
    </row>
    <row r="191" spans="1:13">
      <c r="A191" s="2"/>
      <c r="B191" s="5"/>
      <c r="C191" s="2"/>
      <c r="D191" s="2"/>
      <c r="E191" s="2"/>
      <c r="F191" s="2"/>
      <c r="G191" s="2"/>
      <c r="H191" s="2"/>
      <c r="I191" s="3"/>
      <c r="J191" s="2"/>
      <c r="K191" s="2"/>
      <c r="L191" s="2"/>
      <c r="M191" t="str">
        <f t="shared" si="2"/>
        <v/>
      </c>
    </row>
    <row r="192" spans="1:13">
      <c r="A192" s="2"/>
      <c r="B192" s="5"/>
      <c r="C192" s="2"/>
      <c r="D192" s="2"/>
      <c r="E192" s="2"/>
      <c r="F192" s="2"/>
      <c r="G192" s="2"/>
      <c r="H192" s="2"/>
      <c r="I192" s="3"/>
      <c r="J192" s="2"/>
      <c r="K192" s="2"/>
      <c r="L192" s="2"/>
      <c r="M192" t="str">
        <f t="shared" si="2"/>
        <v/>
      </c>
    </row>
    <row r="193" spans="1:13">
      <c r="A193" s="2"/>
      <c r="B193" s="5"/>
      <c r="C193" s="2"/>
      <c r="D193" s="2"/>
      <c r="E193" s="2"/>
      <c r="F193" s="2"/>
      <c r="G193" s="2"/>
      <c r="H193" s="2"/>
      <c r="I193" s="3"/>
      <c r="J193" s="2"/>
      <c r="K193" s="2"/>
      <c r="L193" s="2"/>
      <c r="M193" t="str">
        <f t="shared" si="2"/>
        <v/>
      </c>
    </row>
    <row r="194" spans="1:13">
      <c r="A194" s="2"/>
      <c r="B194" s="5"/>
      <c r="C194" s="2"/>
      <c r="D194" s="2"/>
      <c r="E194" s="2"/>
      <c r="F194" s="2"/>
      <c r="G194" s="2"/>
      <c r="H194" s="2"/>
      <c r="I194" s="3"/>
      <c r="J194" s="2"/>
      <c r="K194" s="2"/>
      <c r="L194" s="2"/>
      <c r="M194" t="str">
        <f t="shared" si="2"/>
        <v/>
      </c>
    </row>
    <row r="195" spans="1:13">
      <c r="A195" s="2"/>
      <c r="B195" s="5"/>
      <c r="C195" s="2"/>
      <c r="D195" s="2"/>
      <c r="E195" s="2"/>
      <c r="F195" s="2"/>
      <c r="G195" s="2"/>
      <c r="H195" s="2"/>
      <c r="I195" s="3"/>
      <c r="J195" s="2"/>
      <c r="K195" s="2"/>
      <c r="L195" s="2"/>
      <c r="M195" t="str">
        <f t="shared" si="2"/>
        <v/>
      </c>
    </row>
    <row r="196" spans="1:13">
      <c r="A196" s="2"/>
      <c r="B196" s="5"/>
      <c r="C196" s="2"/>
      <c r="D196" s="2"/>
      <c r="E196" s="2"/>
      <c r="F196" s="2"/>
      <c r="G196" s="2"/>
      <c r="H196" s="2"/>
      <c r="I196" s="3"/>
      <c r="J196" s="2"/>
      <c r="K196" s="2"/>
      <c r="L196" s="2"/>
      <c r="M196" t="str">
        <f t="shared" si="2"/>
        <v/>
      </c>
    </row>
    <row r="197" spans="1:13">
      <c r="A197" s="2"/>
      <c r="B197" s="5"/>
      <c r="C197" s="2"/>
      <c r="D197" s="2"/>
      <c r="E197" s="2"/>
      <c r="F197" s="2"/>
      <c r="G197" s="2"/>
      <c r="H197" s="2"/>
      <c r="I197" s="3"/>
      <c r="J197" s="2"/>
      <c r="K197" s="2"/>
      <c r="L197" s="2"/>
      <c r="M197" t="str">
        <f t="shared" ref="M197:M203" si="3">IF(B197="","",TEXT(B197,"mmm-yy"))</f>
        <v/>
      </c>
    </row>
    <row r="198" spans="1:13">
      <c r="A198" s="2"/>
      <c r="B198" s="5"/>
      <c r="C198" s="2"/>
      <c r="D198" s="2"/>
      <c r="E198" s="2"/>
      <c r="F198" s="2"/>
      <c r="G198" s="2"/>
      <c r="H198" s="2"/>
      <c r="I198" s="3"/>
      <c r="J198" s="2"/>
      <c r="K198" s="2"/>
      <c r="L198" s="2"/>
      <c r="M198" t="str">
        <f t="shared" si="3"/>
        <v/>
      </c>
    </row>
    <row r="199" spans="1:13">
      <c r="A199" s="2"/>
      <c r="B199" s="5"/>
      <c r="C199" s="2"/>
      <c r="D199" s="2"/>
      <c r="E199" s="2"/>
      <c r="F199" s="2"/>
      <c r="G199" s="2"/>
      <c r="H199" s="2"/>
      <c r="I199" s="3"/>
      <c r="J199" s="2"/>
      <c r="K199" s="2"/>
      <c r="L199" s="2"/>
      <c r="M199" t="str">
        <f t="shared" si="3"/>
        <v/>
      </c>
    </row>
    <row r="200" spans="1:13">
      <c r="A200" s="2"/>
      <c r="B200" s="5"/>
      <c r="C200" s="2"/>
      <c r="D200" s="2"/>
      <c r="E200" s="2"/>
      <c r="F200" s="2"/>
      <c r="G200" s="2"/>
      <c r="H200" s="2"/>
      <c r="I200" s="3"/>
      <c r="J200" s="2"/>
      <c r="K200" s="2"/>
      <c r="L200" s="2"/>
      <c r="M200" t="str">
        <f t="shared" si="3"/>
        <v/>
      </c>
    </row>
    <row r="201" spans="1:13">
      <c r="A201" s="2"/>
      <c r="B201" s="5"/>
      <c r="C201" s="2"/>
      <c r="D201" s="2"/>
      <c r="E201" s="2"/>
      <c r="F201" s="2"/>
      <c r="G201" s="2"/>
      <c r="H201" s="2"/>
      <c r="I201" s="3"/>
      <c r="J201" s="2"/>
      <c r="K201" s="2"/>
      <c r="L201" s="2"/>
      <c r="M201" t="str">
        <f t="shared" si="3"/>
        <v/>
      </c>
    </row>
    <row r="202" spans="1:13">
      <c r="A202" s="2"/>
      <c r="B202" s="5"/>
      <c r="C202" s="2"/>
      <c r="D202" s="2"/>
      <c r="E202" s="2"/>
      <c r="F202" s="2"/>
      <c r="G202" s="2"/>
      <c r="H202" s="2"/>
      <c r="I202" s="3"/>
      <c r="J202" s="2"/>
      <c r="K202" s="2"/>
      <c r="L202" s="2"/>
      <c r="M202" t="str">
        <f t="shared" si="3"/>
        <v/>
      </c>
    </row>
    <row r="203" spans="1:13">
      <c r="A203" s="2"/>
      <c r="B203" s="5"/>
      <c r="C203" s="2"/>
      <c r="D203" s="2"/>
      <c r="E203" s="2"/>
      <c r="F203" s="2"/>
      <c r="G203" s="2"/>
      <c r="H203" s="2"/>
      <c r="I203" s="3"/>
      <c r="J203" s="2"/>
      <c r="K203" s="2"/>
      <c r="L203" s="2"/>
      <c r="M203" t="str">
        <f t="shared" si="3"/>
        <v/>
      </c>
    </row>
  </sheetData>
  <mergeCells count="1">
    <mergeCell ref="A1:M1"/>
  </mergeCells>
  <dataValidations count="4">
    <dataValidation type="list" sqref="C4:C203" xr:uid="{00000000-0002-0000-0200-000000000000}">
      <formula1>"Inflow,Outflow"</formula1>
    </dataValidation>
    <dataValidation type="list" sqref="G4:G203" xr:uid="{00000000-0002-0000-0200-000001000000}">
      <formula1>"Main Bank,Savings,Cash,UPI,Credit Card,Other"</formula1>
    </dataValidation>
    <dataValidation type="list" sqref="J4:J203" xr:uid="{00000000-0002-0000-0200-000002000000}">
      <formula1>"Received,Paid,Pending"</formula1>
    </dataValidation>
    <dataValidation type="list" sqref="K4:K203" xr:uid="{00000000-0002-0000-0200-000003000000}">
      <formula1>"Bank Transfer,UPI,Cash,Card,Cheque,Other"</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03"/>
  <sheetViews>
    <sheetView showGridLines="0" topLeftCell="E1" workbookViewId="0">
      <selection activeCell="G4" sqref="G4"/>
    </sheetView>
  </sheetViews>
  <sheetFormatPr defaultRowHeight="14.25"/>
  <cols>
    <col min="1" max="1" width="15" customWidth="1"/>
    <col min="2" max="2" width="24" customWidth="1"/>
    <col min="3" max="4" width="14" customWidth="1"/>
    <col min="5" max="5" width="15" customWidth="1"/>
    <col min="6" max="6" width="17" customWidth="1"/>
    <col min="7" max="8" width="16" customWidth="1"/>
    <col min="9" max="9" width="14" customWidth="1"/>
    <col min="10" max="10" width="17" style="43" customWidth="1"/>
    <col min="11" max="11" width="25" customWidth="1"/>
  </cols>
  <sheetData>
    <row r="1" spans="1:11" ht="30" customHeight="1">
      <c r="A1" s="45" t="s">
        <v>174</v>
      </c>
      <c r="B1" s="45" t="s">
        <v>174</v>
      </c>
      <c r="C1" s="45" t="s">
        <v>174</v>
      </c>
      <c r="D1" s="45" t="s">
        <v>174</v>
      </c>
      <c r="E1" s="45" t="s">
        <v>174</v>
      </c>
      <c r="F1" s="45" t="s">
        <v>174</v>
      </c>
      <c r="G1" s="45" t="s">
        <v>174</v>
      </c>
      <c r="H1" s="45" t="s">
        <v>174</v>
      </c>
      <c r="I1" s="45" t="s">
        <v>174</v>
      </c>
      <c r="J1" s="45" t="s">
        <v>174</v>
      </c>
      <c r="K1" s="45" t="s">
        <v>174</v>
      </c>
    </row>
    <row r="3" spans="1:11" ht="15">
      <c r="A3" s="1" t="s">
        <v>175</v>
      </c>
      <c r="B3" s="1" t="s">
        <v>176</v>
      </c>
      <c r="C3" s="1" t="s">
        <v>177</v>
      </c>
      <c r="D3" s="1" t="s">
        <v>178</v>
      </c>
      <c r="E3" s="1" t="s">
        <v>46</v>
      </c>
      <c r="F3" s="1" t="s">
        <v>179</v>
      </c>
      <c r="G3" s="1" t="s">
        <v>58</v>
      </c>
      <c r="H3" s="1" t="s">
        <v>88</v>
      </c>
      <c r="I3" s="1" t="s">
        <v>180</v>
      </c>
      <c r="J3" s="42" t="s">
        <v>181</v>
      </c>
      <c r="K3" s="1" t="s">
        <v>90</v>
      </c>
    </row>
    <row r="4" spans="1:11">
      <c r="A4" t="s">
        <v>182</v>
      </c>
      <c r="B4" t="s">
        <v>164</v>
      </c>
      <c r="C4" s="9">
        <v>46236</v>
      </c>
      <c r="D4" s="9">
        <v>46252</v>
      </c>
      <c r="E4" s="10">
        <v>95000</v>
      </c>
      <c r="F4" s="10">
        <v>25000</v>
      </c>
      <c r="G4" s="23">
        <f t="shared" ref="G4:G35" si="0">E4-F4</f>
        <v>70000</v>
      </c>
      <c r="H4" t="str">
        <f>IF(D4="","",IF(G4=0,"Paid",IF(I4&gt;0,"Overdue",IF(D4-'09_SETTINGS'!$I$5&lt;='09_SETTINGS'!$I$8,"Due Soon","Outstanding"))))</f>
        <v>Overdue</v>
      </c>
      <c r="I4">
        <f>IF(D4="","",MAX(0,'09_SETTINGS'!$I$8-D4))</f>
        <v>13</v>
      </c>
      <c r="J4" s="43">
        <f>IF(D4="","",D4)</f>
        <v>46252</v>
      </c>
      <c r="K4" s="6"/>
    </row>
    <row r="5" spans="1:11">
      <c r="A5" t="s">
        <v>183</v>
      </c>
      <c r="B5" t="s">
        <v>115</v>
      </c>
      <c r="C5" s="9">
        <v>46244</v>
      </c>
      <c r="D5" s="9">
        <v>46262</v>
      </c>
      <c r="E5" s="10">
        <v>75000</v>
      </c>
      <c r="F5" s="10">
        <v>0</v>
      </c>
      <c r="G5" s="23">
        <f t="shared" si="0"/>
        <v>75000</v>
      </c>
      <c r="H5" t="str">
        <f>IF(D5="","",IF(G5=0,"Paid",IF(I5&gt;0,"Overdue",IF(D5-'09_SETTINGS'!$I$5&lt;='09_SETTINGS'!$I$8,"Due Soon","Outstanding"))))</f>
        <v>Overdue</v>
      </c>
      <c r="I5">
        <f>IF(D5="","",MAX(0,'09_SETTINGS'!$I$8-D5))</f>
        <v>3</v>
      </c>
      <c r="J5" s="43">
        <f t="shared" ref="J5:J68" si="1">IF(D5="","",D5)</f>
        <v>46262</v>
      </c>
      <c r="K5" s="6"/>
    </row>
    <row r="6" spans="1:11">
      <c r="A6" t="s">
        <v>184</v>
      </c>
      <c r="B6" t="s">
        <v>127</v>
      </c>
      <c r="C6" s="9">
        <v>46208</v>
      </c>
      <c r="D6" s="9">
        <v>46228</v>
      </c>
      <c r="E6" s="10">
        <v>60000</v>
      </c>
      <c r="F6" s="10">
        <v>0</v>
      </c>
      <c r="G6" s="23">
        <f t="shared" si="0"/>
        <v>60000</v>
      </c>
      <c r="H6" t="str">
        <f>IF(D6="","",IF(G6=0,"Paid",IF(I6&gt;0,"Overdue",IF(D6-'09_SETTINGS'!$I$5&lt;='09_SETTINGS'!$I$8,"Due Soon","Outstanding"))))</f>
        <v>Overdue</v>
      </c>
      <c r="I6">
        <f>IF(D6="","",MAX(0,'09_SETTINGS'!$I$8-D6))</f>
        <v>37</v>
      </c>
      <c r="J6" s="43">
        <f t="shared" si="1"/>
        <v>46228</v>
      </c>
      <c r="K6" s="6"/>
    </row>
    <row r="7" spans="1:11">
      <c r="A7" t="s">
        <v>185</v>
      </c>
      <c r="B7" t="s">
        <v>96</v>
      </c>
      <c r="C7" s="9">
        <v>46249</v>
      </c>
      <c r="D7" s="9">
        <v>46270</v>
      </c>
      <c r="E7" s="10">
        <v>120000</v>
      </c>
      <c r="F7" s="10">
        <v>0</v>
      </c>
      <c r="G7" s="23">
        <f t="shared" si="0"/>
        <v>120000</v>
      </c>
      <c r="H7" t="str">
        <f>IF(D7="","",IF(G7=0,"Paid",IF(I7&gt;0,"Overdue",IF(D7-'09_SETTINGS'!$I$5&lt;='09_SETTINGS'!$I$8,"Due Soon","Outstanding"))))</f>
        <v>Due Soon</v>
      </c>
      <c r="I7">
        <f>IF(D7="","",MAX(0,'09_SETTINGS'!$I$8-D7))</f>
        <v>0</v>
      </c>
      <c r="J7" s="43">
        <f t="shared" si="1"/>
        <v>46270</v>
      </c>
      <c r="K7" s="6"/>
    </row>
    <row r="8" spans="1:11">
      <c r="A8" t="s">
        <v>186</v>
      </c>
      <c r="B8" t="s">
        <v>145</v>
      </c>
      <c r="C8" s="9">
        <v>46193</v>
      </c>
      <c r="D8" s="9">
        <v>46208</v>
      </c>
      <c r="E8" s="10">
        <v>40000</v>
      </c>
      <c r="F8" s="10">
        <v>0</v>
      </c>
      <c r="G8" s="23">
        <f t="shared" si="0"/>
        <v>40000</v>
      </c>
      <c r="H8" t="str">
        <f>IF(D8="","",IF(G8=0,"Paid",IF(I8&gt;0,"Overdue",IF(D8-'09_SETTINGS'!$I$5&lt;='09_SETTINGS'!$I$8,"Due Soon","Outstanding"))))</f>
        <v>Overdue</v>
      </c>
      <c r="I8">
        <f>IF(D8="","",MAX(0,'09_SETTINGS'!$I$8-D8))</f>
        <v>57</v>
      </c>
      <c r="J8" s="43">
        <f t="shared" si="1"/>
        <v>46208</v>
      </c>
      <c r="K8" s="6"/>
    </row>
    <row r="9" spans="1:11">
      <c r="A9" s="2"/>
      <c r="B9" s="2"/>
      <c r="C9" s="5"/>
      <c r="D9" s="5"/>
      <c r="E9" s="3"/>
      <c r="F9" s="3"/>
      <c r="G9" s="23">
        <f t="shared" si="0"/>
        <v>0</v>
      </c>
      <c r="H9" t="str">
        <f>IF(D9="","",IF(G9=0,"Paid",IF(I9&gt;0,"Overdue",IF(D9-'09_SETTINGS'!$I$5&lt;='09_SETTINGS'!$I$8,"Due Soon","Outstanding"))))</f>
        <v/>
      </c>
      <c r="I9" t="str">
        <f>IF(D9="","",MAX(0,'09_SETTINGS'!$I$8-D9))</f>
        <v/>
      </c>
      <c r="J9" s="43" t="str">
        <f t="shared" si="1"/>
        <v/>
      </c>
      <c r="K9" s="6"/>
    </row>
    <row r="10" spans="1:11">
      <c r="A10" s="2"/>
      <c r="B10" s="2"/>
      <c r="C10" s="5"/>
      <c r="D10" s="5"/>
      <c r="E10" s="3"/>
      <c r="F10" s="3"/>
      <c r="G10" s="23">
        <f t="shared" si="0"/>
        <v>0</v>
      </c>
      <c r="H10" t="str">
        <f>IF(D10="","",IF(G10=0,"Paid",IF(I10&gt;0,"Overdue",IF(D10-'09_SETTINGS'!$I$5&lt;='09_SETTINGS'!$I$8,"Due Soon","Outstanding"))))</f>
        <v/>
      </c>
      <c r="I10" t="str">
        <f>IF(D10="","",MAX(0,'09_SETTINGS'!$I$8-D10))</f>
        <v/>
      </c>
      <c r="J10" s="43" t="str">
        <f t="shared" si="1"/>
        <v/>
      </c>
      <c r="K10" s="6"/>
    </row>
    <row r="11" spans="1:11">
      <c r="A11" s="2"/>
      <c r="B11" s="2"/>
      <c r="C11" s="5"/>
      <c r="D11" s="5"/>
      <c r="E11" s="3"/>
      <c r="F11" s="3"/>
      <c r="G11" s="23">
        <f t="shared" si="0"/>
        <v>0</v>
      </c>
      <c r="H11" t="str">
        <f>IF(D11="","",IF(G11=0,"Paid",IF(I11&gt;0,"Overdue",IF(D11-'09_SETTINGS'!$I$5&lt;='09_SETTINGS'!$I$8,"Due Soon","Outstanding"))))</f>
        <v/>
      </c>
      <c r="I11" t="str">
        <f>IF(D11="","",MAX(0,'09_SETTINGS'!$I$8-D11))</f>
        <v/>
      </c>
      <c r="J11" s="43" t="str">
        <f t="shared" si="1"/>
        <v/>
      </c>
      <c r="K11" s="6"/>
    </row>
    <row r="12" spans="1:11">
      <c r="A12" s="2"/>
      <c r="B12" s="2"/>
      <c r="C12" s="5"/>
      <c r="D12" s="5"/>
      <c r="E12" s="3"/>
      <c r="F12" s="3"/>
      <c r="G12" s="23">
        <f t="shared" si="0"/>
        <v>0</v>
      </c>
      <c r="H12" t="str">
        <f>IF(D12="","",IF(G12=0,"Paid",IF(I12&gt;0,"Overdue",IF(D12-'09_SETTINGS'!$I$5&lt;='09_SETTINGS'!$I$8,"Due Soon","Outstanding"))))</f>
        <v/>
      </c>
      <c r="I12" t="str">
        <f>IF(D12="","",MAX(0,'09_SETTINGS'!$I$8-D12))</f>
        <v/>
      </c>
      <c r="J12" s="43" t="str">
        <f t="shared" si="1"/>
        <v/>
      </c>
      <c r="K12" s="6"/>
    </row>
    <row r="13" spans="1:11">
      <c r="A13" s="2"/>
      <c r="B13" s="2"/>
      <c r="C13" s="5"/>
      <c r="D13" s="5"/>
      <c r="E13" s="3"/>
      <c r="F13" s="3"/>
      <c r="G13" s="23">
        <f t="shared" si="0"/>
        <v>0</v>
      </c>
      <c r="H13" t="str">
        <f>IF(D13="","",IF(G13=0,"Paid",IF(I13&gt;0,"Overdue",IF(D13-'09_SETTINGS'!$I$5&lt;='09_SETTINGS'!$I$8,"Due Soon","Outstanding"))))</f>
        <v/>
      </c>
      <c r="I13" t="str">
        <f>IF(D13="","",MAX(0,'09_SETTINGS'!$I$8-D13))</f>
        <v/>
      </c>
      <c r="J13" s="43" t="str">
        <f t="shared" si="1"/>
        <v/>
      </c>
      <c r="K13" s="6"/>
    </row>
    <row r="14" spans="1:11">
      <c r="A14" s="2"/>
      <c r="B14" s="2"/>
      <c r="C14" s="5"/>
      <c r="D14" s="5"/>
      <c r="E14" s="3"/>
      <c r="F14" s="3"/>
      <c r="G14" s="23">
        <f t="shared" si="0"/>
        <v>0</v>
      </c>
      <c r="H14" t="str">
        <f>IF(D14="","",IF(G14=0,"Paid",IF(I14&gt;0,"Overdue",IF(D14-'09_SETTINGS'!$I$5&lt;='09_SETTINGS'!$I$8,"Due Soon","Outstanding"))))</f>
        <v/>
      </c>
      <c r="I14" t="str">
        <f>IF(D14="","",MAX(0,'09_SETTINGS'!$I$8-D14))</f>
        <v/>
      </c>
      <c r="J14" s="43" t="str">
        <f t="shared" si="1"/>
        <v/>
      </c>
      <c r="K14" s="6"/>
    </row>
    <row r="15" spans="1:11">
      <c r="A15" s="2"/>
      <c r="B15" s="2"/>
      <c r="C15" s="5"/>
      <c r="D15" s="5"/>
      <c r="E15" s="3"/>
      <c r="F15" s="3"/>
      <c r="G15" s="23">
        <f t="shared" si="0"/>
        <v>0</v>
      </c>
      <c r="H15" t="str">
        <f>IF(D15="","",IF(G15=0,"Paid",IF(I15&gt;0,"Overdue",IF(D15-'09_SETTINGS'!$I$5&lt;='09_SETTINGS'!$I$8,"Due Soon","Outstanding"))))</f>
        <v/>
      </c>
      <c r="I15" t="str">
        <f>IF(D15="","",MAX(0,'09_SETTINGS'!$I$8-D15))</f>
        <v/>
      </c>
      <c r="J15" s="43" t="str">
        <f t="shared" si="1"/>
        <v/>
      </c>
      <c r="K15" s="6"/>
    </row>
    <row r="16" spans="1:11">
      <c r="A16" s="2"/>
      <c r="B16" s="2"/>
      <c r="C16" s="5"/>
      <c r="D16" s="5"/>
      <c r="E16" s="3"/>
      <c r="F16" s="3"/>
      <c r="G16" s="23">
        <f t="shared" si="0"/>
        <v>0</v>
      </c>
      <c r="H16" t="str">
        <f>IF(D16="","",IF(G16=0,"Paid",IF(I16&gt;0,"Overdue",IF(D16-'09_SETTINGS'!$I$5&lt;='09_SETTINGS'!$I$8,"Due Soon","Outstanding"))))</f>
        <v/>
      </c>
      <c r="I16" t="str">
        <f>IF(D16="","",MAX(0,'09_SETTINGS'!$I$8-D16))</f>
        <v/>
      </c>
      <c r="J16" s="43" t="str">
        <f t="shared" si="1"/>
        <v/>
      </c>
      <c r="K16" s="6"/>
    </row>
    <row r="17" spans="1:11">
      <c r="A17" s="2"/>
      <c r="B17" s="2"/>
      <c r="C17" s="5"/>
      <c r="D17" s="5"/>
      <c r="E17" s="3"/>
      <c r="F17" s="3"/>
      <c r="G17" s="23">
        <f t="shared" si="0"/>
        <v>0</v>
      </c>
      <c r="H17" t="str">
        <f>IF(D17="","",IF(G17=0,"Paid",IF(I17&gt;0,"Overdue",IF(D17-'09_SETTINGS'!$I$5&lt;='09_SETTINGS'!$I$8,"Due Soon","Outstanding"))))</f>
        <v/>
      </c>
      <c r="I17" t="str">
        <f>IF(D17="","",MAX(0,'09_SETTINGS'!$I$8-D17))</f>
        <v/>
      </c>
      <c r="J17" s="43" t="str">
        <f t="shared" si="1"/>
        <v/>
      </c>
      <c r="K17" s="6"/>
    </row>
    <row r="18" spans="1:11">
      <c r="A18" s="2"/>
      <c r="B18" s="2"/>
      <c r="C18" s="5"/>
      <c r="D18" s="5"/>
      <c r="E18" s="3"/>
      <c r="F18" s="3"/>
      <c r="G18" s="23">
        <f t="shared" si="0"/>
        <v>0</v>
      </c>
      <c r="H18" t="str">
        <f>IF(D18="","",IF(G18=0,"Paid",IF(I18&gt;0,"Overdue",IF(D18-'09_SETTINGS'!$I$5&lt;='09_SETTINGS'!$I$8,"Due Soon","Outstanding"))))</f>
        <v/>
      </c>
      <c r="I18" t="str">
        <f>IF(D18="","",MAX(0,'09_SETTINGS'!$I$8-D18))</f>
        <v/>
      </c>
      <c r="J18" s="43" t="str">
        <f t="shared" si="1"/>
        <v/>
      </c>
      <c r="K18" s="6"/>
    </row>
    <row r="19" spans="1:11">
      <c r="A19" s="2"/>
      <c r="B19" s="2"/>
      <c r="C19" s="5"/>
      <c r="D19" s="5"/>
      <c r="E19" s="3"/>
      <c r="F19" s="3"/>
      <c r="G19" s="23">
        <f t="shared" si="0"/>
        <v>0</v>
      </c>
      <c r="H19" t="str">
        <f>IF(D19="","",IF(G19=0,"Paid",IF(I19&gt;0,"Overdue",IF(D19-'09_SETTINGS'!$I$5&lt;='09_SETTINGS'!$I$8,"Due Soon","Outstanding"))))</f>
        <v/>
      </c>
      <c r="I19" t="str">
        <f>IF(D19="","",MAX(0,'09_SETTINGS'!$I$8-D19))</f>
        <v/>
      </c>
      <c r="J19" s="43" t="str">
        <f t="shared" si="1"/>
        <v/>
      </c>
      <c r="K19" s="6"/>
    </row>
    <row r="20" spans="1:11">
      <c r="A20" s="2"/>
      <c r="B20" s="2"/>
      <c r="C20" s="5"/>
      <c r="D20" s="5"/>
      <c r="E20" s="3"/>
      <c r="F20" s="3"/>
      <c r="G20" s="23">
        <f t="shared" si="0"/>
        <v>0</v>
      </c>
      <c r="H20" t="str">
        <f>IF(D20="","",IF(G20=0,"Paid",IF(I20&gt;0,"Overdue",IF(D20-'09_SETTINGS'!$I$5&lt;='09_SETTINGS'!$I$8,"Due Soon","Outstanding"))))</f>
        <v/>
      </c>
      <c r="I20" t="str">
        <f>IF(D20="","",MAX(0,'09_SETTINGS'!$I$8-D20))</f>
        <v/>
      </c>
      <c r="J20" s="43" t="str">
        <f t="shared" si="1"/>
        <v/>
      </c>
      <c r="K20" s="6"/>
    </row>
    <row r="21" spans="1:11">
      <c r="A21" s="2"/>
      <c r="B21" s="2"/>
      <c r="C21" s="5"/>
      <c r="D21" s="5"/>
      <c r="E21" s="3"/>
      <c r="F21" s="3"/>
      <c r="G21" s="23">
        <f t="shared" si="0"/>
        <v>0</v>
      </c>
      <c r="H21" t="str">
        <f>IF(D21="","",IF(G21=0,"Paid",IF(I21&gt;0,"Overdue",IF(D21-'09_SETTINGS'!$I$5&lt;='09_SETTINGS'!$I$8,"Due Soon","Outstanding"))))</f>
        <v/>
      </c>
      <c r="I21" t="str">
        <f>IF(D21="","",MAX(0,'09_SETTINGS'!$I$8-D21))</f>
        <v/>
      </c>
      <c r="J21" s="43" t="str">
        <f t="shared" si="1"/>
        <v/>
      </c>
      <c r="K21" s="6"/>
    </row>
    <row r="22" spans="1:11">
      <c r="A22" s="2"/>
      <c r="B22" s="2"/>
      <c r="C22" s="5"/>
      <c r="D22" s="5"/>
      <c r="E22" s="3"/>
      <c r="F22" s="3"/>
      <c r="G22" s="23">
        <f t="shared" si="0"/>
        <v>0</v>
      </c>
      <c r="H22" t="str">
        <f>IF(D22="","",IF(G22=0,"Paid",IF(I22&gt;0,"Overdue",IF(D22-'09_SETTINGS'!$I$5&lt;='09_SETTINGS'!$I$8,"Due Soon","Outstanding"))))</f>
        <v/>
      </c>
      <c r="I22" t="str">
        <f>IF(D22="","",MAX(0,'09_SETTINGS'!$I$8-D22))</f>
        <v/>
      </c>
      <c r="J22" s="43" t="str">
        <f t="shared" si="1"/>
        <v/>
      </c>
      <c r="K22" s="6"/>
    </row>
    <row r="23" spans="1:11">
      <c r="A23" s="2"/>
      <c r="B23" s="2"/>
      <c r="C23" s="5"/>
      <c r="D23" s="5"/>
      <c r="E23" s="3"/>
      <c r="F23" s="3"/>
      <c r="G23" s="23">
        <f t="shared" si="0"/>
        <v>0</v>
      </c>
      <c r="H23" t="str">
        <f>IF(D23="","",IF(G23=0,"Paid",IF(I23&gt;0,"Overdue",IF(D23-'09_SETTINGS'!$I$5&lt;='09_SETTINGS'!$I$8,"Due Soon","Outstanding"))))</f>
        <v/>
      </c>
      <c r="I23" t="str">
        <f>IF(D23="","",MAX(0,'09_SETTINGS'!$I$8-D23))</f>
        <v/>
      </c>
      <c r="J23" s="43" t="str">
        <f t="shared" si="1"/>
        <v/>
      </c>
      <c r="K23" s="6"/>
    </row>
    <row r="24" spans="1:11">
      <c r="A24" s="2"/>
      <c r="B24" s="2"/>
      <c r="C24" s="5"/>
      <c r="D24" s="5"/>
      <c r="E24" s="3"/>
      <c r="F24" s="3"/>
      <c r="G24" s="23">
        <f t="shared" si="0"/>
        <v>0</v>
      </c>
      <c r="H24" t="str">
        <f>IF(D24="","",IF(G24=0,"Paid",IF(I24&gt;0,"Overdue",IF(D24-'09_SETTINGS'!$I$5&lt;='09_SETTINGS'!$I$8,"Due Soon","Outstanding"))))</f>
        <v/>
      </c>
      <c r="I24" t="str">
        <f>IF(D24="","",MAX(0,'09_SETTINGS'!$I$8-D24))</f>
        <v/>
      </c>
      <c r="J24" s="43" t="str">
        <f t="shared" si="1"/>
        <v/>
      </c>
      <c r="K24" s="6"/>
    </row>
    <row r="25" spans="1:11">
      <c r="A25" s="2"/>
      <c r="B25" s="2"/>
      <c r="C25" s="5"/>
      <c r="D25" s="5"/>
      <c r="E25" s="3"/>
      <c r="F25" s="3"/>
      <c r="G25" s="23">
        <f t="shared" si="0"/>
        <v>0</v>
      </c>
      <c r="H25" t="str">
        <f>IF(D25="","",IF(G25=0,"Paid",IF(I25&gt;0,"Overdue",IF(D25-'09_SETTINGS'!$I$5&lt;='09_SETTINGS'!$I$8,"Due Soon","Outstanding"))))</f>
        <v/>
      </c>
      <c r="I25" t="str">
        <f>IF(D25="","",MAX(0,'09_SETTINGS'!$I$8-D25))</f>
        <v/>
      </c>
      <c r="J25" s="43" t="str">
        <f t="shared" si="1"/>
        <v/>
      </c>
      <c r="K25" s="6"/>
    </row>
    <row r="26" spans="1:11">
      <c r="A26" s="2"/>
      <c r="B26" s="2"/>
      <c r="C26" s="5"/>
      <c r="D26" s="5"/>
      <c r="E26" s="3"/>
      <c r="F26" s="3"/>
      <c r="G26" s="23">
        <f t="shared" si="0"/>
        <v>0</v>
      </c>
      <c r="H26" t="str">
        <f>IF(D26="","",IF(G26=0,"Paid",IF(I26&gt;0,"Overdue",IF(D26-'09_SETTINGS'!$I$5&lt;='09_SETTINGS'!$I$8,"Due Soon","Outstanding"))))</f>
        <v/>
      </c>
      <c r="I26" t="str">
        <f>IF(D26="","",MAX(0,'09_SETTINGS'!$I$8-D26))</f>
        <v/>
      </c>
      <c r="J26" s="43" t="str">
        <f t="shared" si="1"/>
        <v/>
      </c>
      <c r="K26" s="6"/>
    </row>
    <row r="27" spans="1:11">
      <c r="A27" s="2"/>
      <c r="B27" s="2"/>
      <c r="C27" s="5"/>
      <c r="D27" s="5"/>
      <c r="E27" s="3"/>
      <c r="F27" s="3"/>
      <c r="G27" s="23">
        <f t="shared" si="0"/>
        <v>0</v>
      </c>
      <c r="H27" t="str">
        <f>IF(D27="","",IF(G27=0,"Paid",IF(I27&gt;0,"Overdue",IF(D27-'09_SETTINGS'!$I$5&lt;='09_SETTINGS'!$I$8,"Due Soon","Outstanding"))))</f>
        <v/>
      </c>
      <c r="I27" t="str">
        <f>IF(D27="","",MAX(0,'09_SETTINGS'!$I$8-D27))</f>
        <v/>
      </c>
      <c r="J27" s="43" t="str">
        <f t="shared" si="1"/>
        <v/>
      </c>
      <c r="K27" s="6"/>
    </row>
    <row r="28" spans="1:11">
      <c r="A28" s="2"/>
      <c r="B28" s="2"/>
      <c r="C28" s="5"/>
      <c r="D28" s="5"/>
      <c r="E28" s="3"/>
      <c r="F28" s="3"/>
      <c r="G28" s="23">
        <f t="shared" si="0"/>
        <v>0</v>
      </c>
      <c r="H28" t="str">
        <f>IF(D28="","",IF(G28=0,"Paid",IF(I28&gt;0,"Overdue",IF(D28-'09_SETTINGS'!$I$5&lt;='09_SETTINGS'!$I$8,"Due Soon","Outstanding"))))</f>
        <v/>
      </c>
      <c r="I28" t="str">
        <f>IF(D28="","",MAX(0,'09_SETTINGS'!$I$8-D28))</f>
        <v/>
      </c>
      <c r="J28" s="43" t="str">
        <f t="shared" si="1"/>
        <v/>
      </c>
      <c r="K28" s="6"/>
    </row>
    <row r="29" spans="1:11">
      <c r="A29" s="2"/>
      <c r="B29" s="2"/>
      <c r="C29" s="5"/>
      <c r="D29" s="5"/>
      <c r="E29" s="3"/>
      <c r="F29" s="3"/>
      <c r="G29" s="23">
        <f t="shared" si="0"/>
        <v>0</v>
      </c>
      <c r="H29" t="str">
        <f>IF(D29="","",IF(G29=0,"Paid",IF(I29&gt;0,"Overdue",IF(D29-'09_SETTINGS'!$I$5&lt;='09_SETTINGS'!$I$8,"Due Soon","Outstanding"))))</f>
        <v/>
      </c>
      <c r="I29" t="str">
        <f>IF(D29="","",MAX(0,'09_SETTINGS'!$I$8-D29))</f>
        <v/>
      </c>
      <c r="J29" s="43" t="str">
        <f t="shared" si="1"/>
        <v/>
      </c>
      <c r="K29" s="6"/>
    </row>
    <row r="30" spans="1:11">
      <c r="A30" s="2"/>
      <c r="B30" s="2"/>
      <c r="C30" s="5"/>
      <c r="D30" s="5"/>
      <c r="E30" s="3"/>
      <c r="F30" s="3"/>
      <c r="G30" s="23">
        <f t="shared" si="0"/>
        <v>0</v>
      </c>
      <c r="H30" t="str">
        <f>IF(D30="","",IF(G30=0,"Paid",IF(I30&gt;0,"Overdue",IF(D30-'09_SETTINGS'!$I$5&lt;='09_SETTINGS'!$I$8,"Due Soon","Outstanding"))))</f>
        <v/>
      </c>
      <c r="I30" t="str">
        <f>IF(D30="","",MAX(0,'09_SETTINGS'!$I$8-D30))</f>
        <v/>
      </c>
      <c r="J30" s="43" t="str">
        <f t="shared" si="1"/>
        <v/>
      </c>
      <c r="K30" s="6"/>
    </row>
    <row r="31" spans="1:11">
      <c r="A31" s="2"/>
      <c r="B31" s="2"/>
      <c r="C31" s="5"/>
      <c r="D31" s="5"/>
      <c r="E31" s="3"/>
      <c r="F31" s="3"/>
      <c r="G31" s="23">
        <f t="shared" si="0"/>
        <v>0</v>
      </c>
      <c r="H31" t="str">
        <f>IF(D31="","",IF(G31=0,"Paid",IF(I31&gt;0,"Overdue",IF(D31-'09_SETTINGS'!$I$5&lt;='09_SETTINGS'!$I$8,"Due Soon","Outstanding"))))</f>
        <v/>
      </c>
      <c r="I31" t="str">
        <f>IF(D31="","",MAX(0,'09_SETTINGS'!$I$8-D31))</f>
        <v/>
      </c>
      <c r="J31" s="43" t="str">
        <f t="shared" si="1"/>
        <v/>
      </c>
      <c r="K31" s="6"/>
    </row>
    <row r="32" spans="1:11">
      <c r="A32" s="2"/>
      <c r="B32" s="2"/>
      <c r="C32" s="5"/>
      <c r="D32" s="5"/>
      <c r="E32" s="3"/>
      <c r="F32" s="3"/>
      <c r="G32" s="23">
        <f t="shared" si="0"/>
        <v>0</v>
      </c>
      <c r="H32" t="str">
        <f>IF(D32="","",IF(G32=0,"Paid",IF(I32&gt;0,"Overdue",IF(D32-'09_SETTINGS'!$I$5&lt;='09_SETTINGS'!$I$8,"Due Soon","Outstanding"))))</f>
        <v/>
      </c>
      <c r="I32" t="str">
        <f>IF(D32="","",MAX(0,'09_SETTINGS'!$I$8-D32))</f>
        <v/>
      </c>
      <c r="J32" s="43" t="str">
        <f t="shared" si="1"/>
        <v/>
      </c>
      <c r="K32" s="6"/>
    </row>
    <row r="33" spans="1:11">
      <c r="A33" s="2"/>
      <c r="B33" s="2"/>
      <c r="C33" s="5"/>
      <c r="D33" s="5"/>
      <c r="E33" s="3"/>
      <c r="F33" s="3"/>
      <c r="G33" s="23">
        <f t="shared" si="0"/>
        <v>0</v>
      </c>
      <c r="H33" t="str">
        <f>IF(D33="","",IF(G33=0,"Paid",IF(I33&gt;0,"Overdue",IF(D33-'09_SETTINGS'!$I$5&lt;='09_SETTINGS'!$I$8,"Due Soon","Outstanding"))))</f>
        <v/>
      </c>
      <c r="I33" t="str">
        <f>IF(D33="","",MAX(0,'09_SETTINGS'!$I$8-D33))</f>
        <v/>
      </c>
      <c r="J33" s="43" t="str">
        <f t="shared" si="1"/>
        <v/>
      </c>
      <c r="K33" s="6"/>
    </row>
    <row r="34" spans="1:11">
      <c r="A34" s="2"/>
      <c r="B34" s="2"/>
      <c r="C34" s="5"/>
      <c r="D34" s="5"/>
      <c r="E34" s="3"/>
      <c r="F34" s="3"/>
      <c r="G34" s="23">
        <f t="shared" si="0"/>
        <v>0</v>
      </c>
      <c r="H34" t="str">
        <f>IF(D34="","",IF(G34=0,"Paid",IF(I34&gt;0,"Overdue",IF(D34-'09_SETTINGS'!$I$5&lt;='09_SETTINGS'!$I$8,"Due Soon","Outstanding"))))</f>
        <v/>
      </c>
      <c r="I34" t="str">
        <f>IF(D34="","",MAX(0,'09_SETTINGS'!$I$8-D34))</f>
        <v/>
      </c>
      <c r="J34" s="43" t="str">
        <f t="shared" si="1"/>
        <v/>
      </c>
      <c r="K34" s="6"/>
    </row>
    <row r="35" spans="1:11">
      <c r="A35" s="2"/>
      <c r="B35" s="2"/>
      <c r="C35" s="5"/>
      <c r="D35" s="5"/>
      <c r="E35" s="3"/>
      <c r="F35" s="3"/>
      <c r="G35" s="23">
        <f t="shared" si="0"/>
        <v>0</v>
      </c>
      <c r="H35" t="str">
        <f>IF(D35="","",IF(G35=0,"Paid",IF(I35&gt;0,"Overdue",IF(D35-'09_SETTINGS'!$I$5&lt;='09_SETTINGS'!$I$8,"Due Soon","Outstanding"))))</f>
        <v/>
      </c>
      <c r="I35" t="str">
        <f>IF(D35="","",MAX(0,'09_SETTINGS'!$I$8-D35))</f>
        <v/>
      </c>
      <c r="J35" s="43" t="str">
        <f t="shared" si="1"/>
        <v/>
      </c>
      <c r="K35" s="6"/>
    </row>
    <row r="36" spans="1:11">
      <c r="A36" s="2"/>
      <c r="B36" s="2"/>
      <c r="C36" s="5"/>
      <c r="D36" s="5"/>
      <c r="E36" s="3"/>
      <c r="F36" s="3"/>
      <c r="G36" s="23">
        <f t="shared" ref="G36:G67" si="2">E36-F36</f>
        <v>0</v>
      </c>
      <c r="H36" t="str">
        <f>IF(D36="","",IF(G36=0,"Paid",IF(I36&gt;0,"Overdue",IF(D36-'09_SETTINGS'!$I$5&lt;='09_SETTINGS'!$I$8,"Due Soon","Outstanding"))))</f>
        <v/>
      </c>
      <c r="I36" t="str">
        <f>IF(D36="","",MAX(0,'09_SETTINGS'!$I$8-D36))</f>
        <v/>
      </c>
      <c r="J36" s="43" t="str">
        <f t="shared" si="1"/>
        <v/>
      </c>
      <c r="K36" s="6"/>
    </row>
    <row r="37" spans="1:11">
      <c r="A37" s="2"/>
      <c r="B37" s="2"/>
      <c r="C37" s="5"/>
      <c r="D37" s="5"/>
      <c r="E37" s="3"/>
      <c r="F37" s="3"/>
      <c r="G37" s="23">
        <f t="shared" si="2"/>
        <v>0</v>
      </c>
      <c r="H37" t="str">
        <f>IF(D37="","",IF(G37=0,"Paid",IF(I37&gt;0,"Overdue",IF(D37-'09_SETTINGS'!$I$5&lt;='09_SETTINGS'!$I$8,"Due Soon","Outstanding"))))</f>
        <v/>
      </c>
      <c r="I37" t="str">
        <f>IF(D37="","",MAX(0,'09_SETTINGS'!$I$8-D37))</f>
        <v/>
      </c>
      <c r="J37" s="43" t="str">
        <f t="shared" si="1"/>
        <v/>
      </c>
      <c r="K37" s="6"/>
    </row>
    <row r="38" spans="1:11">
      <c r="A38" s="2"/>
      <c r="B38" s="2"/>
      <c r="C38" s="5"/>
      <c r="D38" s="5"/>
      <c r="E38" s="3"/>
      <c r="F38" s="3"/>
      <c r="G38" s="23">
        <f t="shared" si="2"/>
        <v>0</v>
      </c>
      <c r="H38" t="str">
        <f>IF(D38="","",IF(G38=0,"Paid",IF(I38&gt;0,"Overdue",IF(D38-'09_SETTINGS'!$I$5&lt;='09_SETTINGS'!$I$8,"Due Soon","Outstanding"))))</f>
        <v/>
      </c>
      <c r="I38" t="str">
        <f>IF(D38="","",MAX(0,'09_SETTINGS'!$I$8-D38))</f>
        <v/>
      </c>
      <c r="J38" s="43" t="str">
        <f t="shared" si="1"/>
        <v/>
      </c>
      <c r="K38" s="6"/>
    </row>
    <row r="39" spans="1:11">
      <c r="A39" s="2"/>
      <c r="B39" s="2"/>
      <c r="C39" s="5"/>
      <c r="D39" s="5"/>
      <c r="E39" s="3"/>
      <c r="F39" s="3"/>
      <c r="G39" s="23">
        <f t="shared" si="2"/>
        <v>0</v>
      </c>
      <c r="H39" t="str">
        <f>IF(D39="","",IF(G39=0,"Paid",IF(I39&gt;0,"Overdue",IF(D39-'09_SETTINGS'!$I$5&lt;='09_SETTINGS'!$I$8,"Due Soon","Outstanding"))))</f>
        <v/>
      </c>
      <c r="I39" t="str">
        <f>IF(D39="","",MAX(0,'09_SETTINGS'!$I$8-D39))</f>
        <v/>
      </c>
      <c r="J39" s="43" t="str">
        <f t="shared" si="1"/>
        <v/>
      </c>
      <c r="K39" s="6"/>
    </row>
    <row r="40" spans="1:11">
      <c r="A40" s="2"/>
      <c r="B40" s="2"/>
      <c r="C40" s="5"/>
      <c r="D40" s="5"/>
      <c r="E40" s="3"/>
      <c r="F40" s="3"/>
      <c r="G40" s="23">
        <f t="shared" si="2"/>
        <v>0</v>
      </c>
      <c r="H40" t="str">
        <f>IF(D40="","",IF(G40=0,"Paid",IF(I40&gt;0,"Overdue",IF(D40-'09_SETTINGS'!$I$5&lt;='09_SETTINGS'!$I$8,"Due Soon","Outstanding"))))</f>
        <v/>
      </c>
      <c r="I40" t="str">
        <f>IF(D40="","",MAX(0,'09_SETTINGS'!$I$8-D40))</f>
        <v/>
      </c>
      <c r="J40" s="43" t="str">
        <f t="shared" si="1"/>
        <v/>
      </c>
      <c r="K40" s="6"/>
    </row>
    <row r="41" spans="1:11">
      <c r="A41" s="2"/>
      <c r="B41" s="2"/>
      <c r="C41" s="5"/>
      <c r="D41" s="5"/>
      <c r="E41" s="3"/>
      <c r="F41" s="3"/>
      <c r="G41" s="23">
        <f t="shared" si="2"/>
        <v>0</v>
      </c>
      <c r="H41" t="str">
        <f>IF(D41="","",IF(G41=0,"Paid",IF(I41&gt;0,"Overdue",IF(D41-'09_SETTINGS'!$I$5&lt;='09_SETTINGS'!$I$8,"Due Soon","Outstanding"))))</f>
        <v/>
      </c>
      <c r="I41" t="str">
        <f>IF(D41="","",MAX(0,'09_SETTINGS'!$I$8-D41))</f>
        <v/>
      </c>
      <c r="J41" s="43" t="str">
        <f t="shared" si="1"/>
        <v/>
      </c>
      <c r="K41" s="6"/>
    </row>
    <row r="42" spans="1:11">
      <c r="A42" s="2"/>
      <c r="B42" s="2"/>
      <c r="C42" s="5"/>
      <c r="D42" s="5"/>
      <c r="E42" s="3"/>
      <c r="F42" s="3"/>
      <c r="G42" s="23">
        <f t="shared" si="2"/>
        <v>0</v>
      </c>
      <c r="H42" t="str">
        <f>IF(D42="","",IF(G42=0,"Paid",IF(I42&gt;0,"Overdue",IF(D42-'09_SETTINGS'!$I$5&lt;='09_SETTINGS'!$I$8,"Due Soon","Outstanding"))))</f>
        <v/>
      </c>
      <c r="I42" t="str">
        <f>IF(D42="","",MAX(0,'09_SETTINGS'!$I$8-D42))</f>
        <v/>
      </c>
      <c r="J42" s="43" t="str">
        <f t="shared" si="1"/>
        <v/>
      </c>
      <c r="K42" s="6"/>
    </row>
    <row r="43" spans="1:11">
      <c r="A43" s="2"/>
      <c r="B43" s="2"/>
      <c r="C43" s="5"/>
      <c r="D43" s="5"/>
      <c r="E43" s="3"/>
      <c r="F43" s="3"/>
      <c r="G43" s="23">
        <f t="shared" si="2"/>
        <v>0</v>
      </c>
      <c r="H43" t="str">
        <f>IF(D43="","",IF(G43=0,"Paid",IF(I43&gt;0,"Overdue",IF(D43-'09_SETTINGS'!$I$5&lt;='09_SETTINGS'!$I$8,"Due Soon","Outstanding"))))</f>
        <v/>
      </c>
      <c r="I43" t="str">
        <f>IF(D43="","",MAX(0,'09_SETTINGS'!$I$8-D43))</f>
        <v/>
      </c>
      <c r="J43" s="43" t="str">
        <f t="shared" si="1"/>
        <v/>
      </c>
      <c r="K43" s="6"/>
    </row>
    <row r="44" spans="1:11">
      <c r="A44" s="2"/>
      <c r="B44" s="2"/>
      <c r="C44" s="5"/>
      <c r="D44" s="5"/>
      <c r="E44" s="3"/>
      <c r="F44" s="3"/>
      <c r="G44" s="23">
        <f t="shared" si="2"/>
        <v>0</v>
      </c>
      <c r="H44" t="str">
        <f>IF(D44="","",IF(G44=0,"Paid",IF(I44&gt;0,"Overdue",IF(D44-'09_SETTINGS'!$I$5&lt;='09_SETTINGS'!$I$8,"Due Soon","Outstanding"))))</f>
        <v/>
      </c>
      <c r="I44" t="str">
        <f>IF(D44="","",MAX(0,'09_SETTINGS'!$I$8-D44))</f>
        <v/>
      </c>
      <c r="J44" s="43" t="str">
        <f t="shared" si="1"/>
        <v/>
      </c>
      <c r="K44" s="6"/>
    </row>
    <row r="45" spans="1:11">
      <c r="A45" s="2"/>
      <c r="B45" s="2"/>
      <c r="C45" s="5"/>
      <c r="D45" s="5"/>
      <c r="E45" s="3"/>
      <c r="F45" s="3"/>
      <c r="G45" s="23">
        <f t="shared" si="2"/>
        <v>0</v>
      </c>
      <c r="H45" t="str">
        <f>IF(D45="","",IF(G45=0,"Paid",IF(I45&gt;0,"Overdue",IF(D45-'09_SETTINGS'!$I$5&lt;='09_SETTINGS'!$I$8,"Due Soon","Outstanding"))))</f>
        <v/>
      </c>
      <c r="I45" t="str">
        <f>IF(D45="","",MAX(0,'09_SETTINGS'!$I$8-D45))</f>
        <v/>
      </c>
      <c r="J45" s="43" t="str">
        <f t="shared" si="1"/>
        <v/>
      </c>
      <c r="K45" s="6"/>
    </row>
    <row r="46" spans="1:11">
      <c r="A46" s="2"/>
      <c r="B46" s="2"/>
      <c r="C46" s="5"/>
      <c r="D46" s="5"/>
      <c r="E46" s="3"/>
      <c r="F46" s="3"/>
      <c r="G46" s="23">
        <f t="shared" si="2"/>
        <v>0</v>
      </c>
      <c r="H46" t="str">
        <f>IF(D46="","",IF(G46=0,"Paid",IF(I46&gt;0,"Overdue",IF(D46-'09_SETTINGS'!$I$5&lt;='09_SETTINGS'!$I$8,"Due Soon","Outstanding"))))</f>
        <v/>
      </c>
      <c r="I46" t="str">
        <f>IF(D46="","",MAX(0,'09_SETTINGS'!$I$8-D46))</f>
        <v/>
      </c>
      <c r="J46" s="43" t="str">
        <f t="shared" si="1"/>
        <v/>
      </c>
      <c r="K46" s="6"/>
    </row>
    <row r="47" spans="1:11">
      <c r="A47" s="2"/>
      <c r="B47" s="2"/>
      <c r="C47" s="5"/>
      <c r="D47" s="5"/>
      <c r="E47" s="3"/>
      <c r="F47" s="3"/>
      <c r="G47" s="23">
        <f t="shared" si="2"/>
        <v>0</v>
      </c>
      <c r="H47" t="str">
        <f>IF(D47="","",IF(G47=0,"Paid",IF(I47&gt;0,"Overdue",IF(D47-'09_SETTINGS'!$I$5&lt;='09_SETTINGS'!$I$8,"Due Soon","Outstanding"))))</f>
        <v/>
      </c>
      <c r="I47" t="str">
        <f>IF(D47="","",MAX(0,'09_SETTINGS'!$I$8-D47))</f>
        <v/>
      </c>
      <c r="J47" s="43" t="str">
        <f t="shared" si="1"/>
        <v/>
      </c>
      <c r="K47" s="6"/>
    </row>
    <row r="48" spans="1:11">
      <c r="A48" s="2"/>
      <c r="B48" s="2"/>
      <c r="C48" s="5"/>
      <c r="D48" s="5"/>
      <c r="E48" s="3"/>
      <c r="F48" s="3"/>
      <c r="G48" s="23">
        <f t="shared" si="2"/>
        <v>0</v>
      </c>
      <c r="H48" t="str">
        <f>IF(D48="","",IF(G48=0,"Paid",IF(I48&gt;0,"Overdue",IF(D48-'09_SETTINGS'!$I$5&lt;='09_SETTINGS'!$I$8,"Due Soon","Outstanding"))))</f>
        <v/>
      </c>
      <c r="I48" t="str">
        <f>IF(D48="","",MAX(0,'09_SETTINGS'!$I$8-D48))</f>
        <v/>
      </c>
      <c r="J48" s="43" t="str">
        <f t="shared" si="1"/>
        <v/>
      </c>
      <c r="K48" s="6"/>
    </row>
    <row r="49" spans="1:11">
      <c r="A49" s="2"/>
      <c r="B49" s="2"/>
      <c r="C49" s="5"/>
      <c r="D49" s="5"/>
      <c r="E49" s="3"/>
      <c r="F49" s="3"/>
      <c r="G49" s="23">
        <f t="shared" si="2"/>
        <v>0</v>
      </c>
      <c r="H49" t="str">
        <f>IF(D49="","",IF(G49=0,"Paid",IF(I49&gt;0,"Overdue",IF(D49-'09_SETTINGS'!$I$5&lt;='09_SETTINGS'!$I$8,"Due Soon","Outstanding"))))</f>
        <v/>
      </c>
      <c r="I49" t="str">
        <f>IF(D49="","",MAX(0,'09_SETTINGS'!$I$8-D49))</f>
        <v/>
      </c>
      <c r="J49" s="43" t="str">
        <f t="shared" si="1"/>
        <v/>
      </c>
      <c r="K49" s="6"/>
    </row>
    <row r="50" spans="1:11">
      <c r="A50" s="2"/>
      <c r="B50" s="2"/>
      <c r="C50" s="5"/>
      <c r="D50" s="5"/>
      <c r="E50" s="3"/>
      <c r="F50" s="3"/>
      <c r="G50" s="23">
        <f t="shared" si="2"/>
        <v>0</v>
      </c>
      <c r="H50" t="str">
        <f>IF(D50="","",IF(G50=0,"Paid",IF(I50&gt;0,"Overdue",IF(D50-'09_SETTINGS'!$I$5&lt;='09_SETTINGS'!$I$8,"Due Soon","Outstanding"))))</f>
        <v/>
      </c>
      <c r="I50" t="str">
        <f>IF(D50="","",MAX(0,'09_SETTINGS'!$I$8-D50))</f>
        <v/>
      </c>
      <c r="J50" s="43" t="str">
        <f t="shared" si="1"/>
        <v/>
      </c>
      <c r="K50" s="6"/>
    </row>
    <row r="51" spans="1:11">
      <c r="A51" s="2"/>
      <c r="B51" s="2"/>
      <c r="C51" s="5"/>
      <c r="D51" s="5"/>
      <c r="E51" s="3"/>
      <c r="F51" s="3"/>
      <c r="G51" s="23">
        <f t="shared" si="2"/>
        <v>0</v>
      </c>
      <c r="H51" t="str">
        <f>IF(D51="","",IF(G51=0,"Paid",IF(I51&gt;0,"Overdue",IF(D51-'09_SETTINGS'!$I$5&lt;='09_SETTINGS'!$I$8,"Due Soon","Outstanding"))))</f>
        <v/>
      </c>
      <c r="I51" t="str">
        <f>IF(D51="","",MAX(0,'09_SETTINGS'!$I$8-D51))</f>
        <v/>
      </c>
      <c r="J51" s="43" t="str">
        <f t="shared" si="1"/>
        <v/>
      </c>
      <c r="K51" s="6"/>
    </row>
    <row r="52" spans="1:11">
      <c r="A52" s="2"/>
      <c r="B52" s="2"/>
      <c r="C52" s="5"/>
      <c r="D52" s="5"/>
      <c r="E52" s="3"/>
      <c r="F52" s="3"/>
      <c r="G52" s="23">
        <f t="shared" si="2"/>
        <v>0</v>
      </c>
      <c r="H52" t="str">
        <f>IF(D52="","",IF(G52=0,"Paid",IF(I52&gt;0,"Overdue",IF(D52-'09_SETTINGS'!$I$5&lt;='09_SETTINGS'!$I$8,"Due Soon","Outstanding"))))</f>
        <v/>
      </c>
      <c r="I52" t="str">
        <f>IF(D52="","",MAX(0,'09_SETTINGS'!$I$8-D52))</f>
        <v/>
      </c>
      <c r="J52" s="43" t="str">
        <f t="shared" si="1"/>
        <v/>
      </c>
      <c r="K52" s="6"/>
    </row>
    <row r="53" spans="1:11">
      <c r="A53" s="2"/>
      <c r="B53" s="2"/>
      <c r="C53" s="5"/>
      <c r="D53" s="5"/>
      <c r="E53" s="3"/>
      <c r="F53" s="3"/>
      <c r="G53" s="23">
        <f t="shared" si="2"/>
        <v>0</v>
      </c>
      <c r="H53" t="str">
        <f>IF(D53="","",IF(G53=0,"Paid",IF(I53&gt;0,"Overdue",IF(D53-'09_SETTINGS'!$I$5&lt;='09_SETTINGS'!$I$8,"Due Soon","Outstanding"))))</f>
        <v/>
      </c>
      <c r="I53" t="str">
        <f>IF(D53="","",MAX(0,'09_SETTINGS'!$I$8-D53))</f>
        <v/>
      </c>
      <c r="J53" s="43" t="str">
        <f t="shared" si="1"/>
        <v/>
      </c>
      <c r="K53" s="6"/>
    </row>
    <row r="54" spans="1:11">
      <c r="A54" s="2"/>
      <c r="B54" s="2"/>
      <c r="C54" s="5"/>
      <c r="D54" s="5"/>
      <c r="E54" s="3"/>
      <c r="F54" s="3"/>
      <c r="G54" s="23">
        <f t="shared" si="2"/>
        <v>0</v>
      </c>
      <c r="H54" t="str">
        <f>IF(D54="","",IF(G54=0,"Paid",IF(I54&gt;0,"Overdue",IF(D54-'09_SETTINGS'!$I$5&lt;='09_SETTINGS'!$I$8,"Due Soon","Outstanding"))))</f>
        <v/>
      </c>
      <c r="I54" t="str">
        <f>IF(D54="","",MAX(0,'09_SETTINGS'!$I$8-D54))</f>
        <v/>
      </c>
      <c r="J54" s="43" t="str">
        <f t="shared" si="1"/>
        <v/>
      </c>
      <c r="K54" s="6"/>
    </row>
    <row r="55" spans="1:11">
      <c r="A55" s="2"/>
      <c r="B55" s="2"/>
      <c r="C55" s="5"/>
      <c r="D55" s="5"/>
      <c r="E55" s="3"/>
      <c r="F55" s="3"/>
      <c r="G55" s="23">
        <f t="shared" si="2"/>
        <v>0</v>
      </c>
      <c r="H55" t="str">
        <f>IF(D55="","",IF(G55=0,"Paid",IF(I55&gt;0,"Overdue",IF(D55-'09_SETTINGS'!$I$5&lt;='09_SETTINGS'!$I$8,"Due Soon","Outstanding"))))</f>
        <v/>
      </c>
      <c r="I55" t="str">
        <f>IF(D55="","",MAX(0,'09_SETTINGS'!$I$8-D55))</f>
        <v/>
      </c>
      <c r="J55" s="43" t="str">
        <f t="shared" si="1"/>
        <v/>
      </c>
      <c r="K55" s="6"/>
    </row>
    <row r="56" spans="1:11">
      <c r="A56" s="2"/>
      <c r="B56" s="2"/>
      <c r="C56" s="5"/>
      <c r="D56" s="5"/>
      <c r="E56" s="3"/>
      <c r="F56" s="3"/>
      <c r="G56" s="23">
        <f t="shared" si="2"/>
        <v>0</v>
      </c>
      <c r="H56" t="str">
        <f>IF(D56="","",IF(G56=0,"Paid",IF(I56&gt;0,"Overdue",IF(D56-'09_SETTINGS'!$I$5&lt;='09_SETTINGS'!$I$8,"Due Soon","Outstanding"))))</f>
        <v/>
      </c>
      <c r="I56" t="str">
        <f>IF(D56="","",MAX(0,'09_SETTINGS'!$I$8-D56))</f>
        <v/>
      </c>
      <c r="J56" s="43" t="str">
        <f t="shared" si="1"/>
        <v/>
      </c>
      <c r="K56" s="6"/>
    </row>
    <row r="57" spans="1:11">
      <c r="A57" s="2"/>
      <c r="B57" s="2"/>
      <c r="C57" s="5"/>
      <c r="D57" s="5"/>
      <c r="E57" s="3"/>
      <c r="F57" s="3"/>
      <c r="G57" s="23">
        <f t="shared" si="2"/>
        <v>0</v>
      </c>
      <c r="H57" t="str">
        <f>IF(D57="","",IF(G57=0,"Paid",IF(I57&gt;0,"Overdue",IF(D57-'09_SETTINGS'!$I$5&lt;='09_SETTINGS'!$I$8,"Due Soon","Outstanding"))))</f>
        <v/>
      </c>
      <c r="I57" t="str">
        <f>IF(D57="","",MAX(0,'09_SETTINGS'!$I$8-D57))</f>
        <v/>
      </c>
      <c r="J57" s="43" t="str">
        <f t="shared" si="1"/>
        <v/>
      </c>
      <c r="K57" s="6"/>
    </row>
    <row r="58" spans="1:11">
      <c r="A58" s="2"/>
      <c r="B58" s="2"/>
      <c r="C58" s="5"/>
      <c r="D58" s="5"/>
      <c r="E58" s="3"/>
      <c r="F58" s="3"/>
      <c r="G58" s="23">
        <f t="shared" si="2"/>
        <v>0</v>
      </c>
      <c r="H58" t="str">
        <f>IF(D58="","",IF(G58=0,"Paid",IF(I58&gt;0,"Overdue",IF(D58-'09_SETTINGS'!$I$5&lt;='09_SETTINGS'!$I$8,"Due Soon","Outstanding"))))</f>
        <v/>
      </c>
      <c r="I58" t="str">
        <f>IF(D58="","",MAX(0,'09_SETTINGS'!$I$8-D58))</f>
        <v/>
      </c>
      <c r="J58" s="43" t="str">
        <f t="shared" si="1"/>
        <v/>
      </c>
      <c r="K58" s="6"/>
    </row>
    <row r="59" spans="1:11">
      <c r="A59" s="2"/>
      <c r="B59" s="2"/>
      <c r="C59" s="5"/>
      <c r="D59" s="5"/>
      <c r="E59" s="3"/>
      <c r="F59" s="3"/>
      <c r="G59" s="23">
        <f t="shared" si="2"/>
        <v>0</v>
      </c>
      <c r="H59" t="str">
        <f>IF(D59="","",IF(G59=0,"Paid",IF(I59&gt;0,"Overdue",IF(D59-'09_SETTINGS'!$I$5&lt;='09_SETTINGS'!$I$8,"Due Soon","Outstanding"))))</f>
        <v/>
      </c>
      <c r="I59" t="str">
        <f>IF(D59="","",MAX(0,'09_SETTINGS'!$I$8-D59))</f>
        <v/>
      </c>
      <c r="J59" s="43" t="str">
        <f t="shared" si="1"/>
        <v/>
      </c>
      <c r="K59" s="6"/>
    </row>
    <row r="60" spans="1:11">
      <c r="A60" s="2"/>
      <c r="B60" s="2"/>
      <c r="C60" s="5"/>
      <c r="D60" s="5"/>
      <c r="E60" s="3"/>
      <c r="F60" s="3"/>
      <c r="G60" s="23">
        <f t="shared" si="2"/>
        <v>0</v>
      </c>
      <c r="H60" t="str">
        <f>IF(D60="","",IF(G60=0,"Paid",IF(I60&gt;0,"Overdue",IF(D60-'09_SETTINGS'!$I$5&lt;='09_SETTINGS'!$I$8,"Due Soon","Outstanding"))))</f>
        <v/>
      </c>
      <c r="I60" t="str">
        <f>IF(D60="","",MAX(0,'09_SETTINGS'!$I$8-D60))</f>
        <v/>
      </c>
      <c r="J60" s="43" t="str">
        <f t="shared" si="1"/>
        <v/>
      </c>
      <c r="K60" s="6"/>
    </row>
    <row r="61" spans="1:11">
      <c r="A61" s="2"/>
      <c r="B61" s="2"/>
      <c r="C61" s="5"/>
      <c r="D61" s="5"/>
      <c r="E61" s="3"/>
      <c r="F61" s="3"/>
      <c r="G61" s="23">
        <f t="shared" si="2"/>
        <v>0</v>
      </c>
      <c r="H61" t="str">
        <f>IF(D61="","",IF(G61=0,"Paid",IF(I61&gt;0,"Overdue",IF(D61-'09_SETTINGS'!$I$5&lt;='09_SETTINGS'!$I$8,"Due Soon","Outstanding"))))</f>
        <v/>
      </c>
      <c r="I61" t="str">
        <f>IF(D61="","",MAX(0,'09_SETTINGS'!$I$8-D61))</f>
        <v/>
      </c>
      <c r="J61" s="43" t="str">
        <f t="shared" si="1"/>
        <v/>
      </c>
      <c r="K61" s="6"/>
    </row>
    <row r="62" spans="1:11">
      <c r="A62" s="2"/>
      <c r="B62" s="2"/>
      <c r="C62" s="5"/>
      <c r="D62" s="5"/>
      <c r="E62" s="3"/>
      <c r="F62" s="3"/>
      <c r="G62" s="23">
        <f t="shared" si="2"/>
        <v>0</v>
      </c>
      <c r="H62" t="str">
        <f>IF(D62="","",IF(G62=0,"Paid",IF(I62&gt;0,"Overdue",IF(D62-'09_SETTINGS'!$I$5&lt;='09_SETTINGS'!$I$8,"Due Soon","Outstanding"))))</f>
        <v/>
      </c>
      <c r="I62" t="str">
        <f>IF(D62="","",MAX(0,'09_SETTINGS'!$I$8-D62))</f>
        <v/>
      </c>
      <c r="J62" s="43" t="str">
        <f t="shared" si="1"/>
        <v/>
      </c>
      <c r="K62" s="6"/>
    </row>
    <row r="63" spans="1:11">
      <c r="A63" s="2"/>
      <c r="B63" s="2"/>
      <c r="C63" s="5"/>
      <c r="D63" s="5"/>
      <c r="E63" s="3"/>
      <c r="F63" s="3"/>
      <c r="G63" s="23">
        <f t="shared" si="2"/>
        <v>0</v>
      </c>
      <c r="H63" t="str">
        <f>IF(D63="","",IF(G63=0,"Paid",IF(I63&gt;0,"Overdue",IF(D63-'09_SETTINGS'!$I$5&lt;='09_SETTINGS'!$I$8,"Due Soon","Outstanding"))))</f>
        <v/>
      </c>
      <c r="I63" t="str">
        <f>IF(D63="","",MAX(0,'09_SETTINGS'!$I$8-D63))</f>
        <v/>
      </c>
      <c r="J63" s="43" t="str">
        <f t="shared" si="1"/>
        <v/>
      </c>
      <c r="K63" s="6"/>
    </row>
    <row r="64" spans="1:11">
      <c r="A64" s="2"/>
      <c r="B64" s="2"/>
      <c r="C64" s="5"/>
      <c r="D64" s="5"/>
      <c r="E64" s="3"/>
      <c r="F64" s="3"/>
      <c r="G64" s="23">
        <f t="shared" si="2"/>
        <v>0</v>
      </c>
      <c r="H64" t="str">
        <f>IF(D64="","",IF(G64=0,"Paid",IF(I64&gt;0,"Overdue",IF(D64-'09_SETTINGS'!$I$5&lt;='09_SETTINGS'!$I$8,"Due Soon","Outstanding"))))</f>
        <v/>
      </c>
      <c r="I64" t="str">
        <f>IF(D64="","",MAX(0,'09_SETTINGS'!$I$8-D64))</f>
        <v/>
      </c>
      <c r="J64" s="43" t="str">
        <f t="shared" si="1"/>
        <v/>
      </c>
      <c r="K64" s="6"/>
    </row>
    <row r="65" spans="1:11">
      <c r="A65" s="2"/>
      <c r="B65" s="2"/>
      <c r="C65" s="5"/>
      <c r="D65" s="5"/>
      <c r="E65" s="3"/>
      <c r="F65" s="3"/>
      <c r="G65" s="23">
        <f t="shared" si="2"/>
        <v>0</v>
      </c>
      <c r="H65" t="str">
        <f>IF(D65="","",IF(G65=0,"Paid",IF(I65&gt;0,"Overdue",IF(D65-'09_SETTINGS'!$I$5&lt;='09_SETTINGS'!$I$8,"Due Soon","Outstanding"))))</f>
        <v/>
      </c>
      <c r="I65" t="str">
        <f>IF(D65="","",MAX(0,'09_SETTINGS'!$I$8-D65))</f>
        <v/>
      </c>
      <c r="J65" s="43" t="str">
        <f t="shared" si="1"/>
        <v/>
      </c>
      <c r="K65" s="6"/>
    </row>
    <row r="66" spans="1:11">
      <c r="A66" s="2"/>
      <c r="B66" s="2"/>
      <c r="C66" s="5"/>
      <c r="D66" s="5"/>
      <c r="E66" s="3"/>
      <c r="F66" s="3"/>
      <c r="G66" s="23">
        <f t="shared" si="2"/>
        <v>0</v>
      </c>
      <c r="H66" t="str">
        <f>IF(D66="","",IF(G66=0,"Paid",IF(I66&gt;0,"Overdue",IF(D66-'09_SETTINGS'!$I$5&lt;='09_SETTINGS'!$I$8,"Due Soon","Outstanding"))))</f>
        <v/>
      </c>
      <c r="I66" t="str">
        <f>IF(D66="","",MAX(0,'09_SETTINGS'!$I$8-D66))</f>
        <v/>
      </c>
      <c r="J66" s="43" t="str">
        <f t="shared" si="1"/>
        <v/>
      </c>
      <c r="K66" s="6"/>
    </row>
    <row r="67" spans="1:11">
      <c r="A67" s="2"/>
      <c r="B67" s="2"/>
      <c r="C67" s="5"/>
      <c r="D67" s="5"/>
      <c r="E67" s="3"/>
      <c r="F67" s="3"/>
      <c r="G67" s="23">
        <f t="shared" si="2"/>
        <v>0</v>
      </c>
      <c r="H67" t="str">
        <f>IF(D67="","",IF(G67=0,"Paid",IF(I67&gt;0,"Overdue",IF(D67-'09_SETTINGS'!$I$5&lt;='09_SETTINGS'!$I$8,"Due Soon","Outstanding"))))</f>
        <v/>
      </c>
      <c r="I67" t="str">
        <f>IF(D67="","",MAX(0,'09_SETTINGS'!$I$8-D67))</f>
        <v/>
      </c>
      <c r="J67" s="43" t="str">
        <f t="shared" si="1"/>
        <v/>
      </c>
      <c r="K67" s="6"/>
    </row>
    <row r="68" spans="1:11">
      <c r="A68" s="2"/>
      <c r="B68" s="2"/>
      <c r="C68" s="5"/>
      <c r="D68" s="5"/>
      <c r="E68" s="3"/>
      <c r="F68" s="3"/>
      <c r="G68" s="23">
        <f t="shared" ref="G68:G99" si="3">E68-F68</f>
        <v>0</v>
      </c>
      <c r="H68" t="str">
        <f>IF(D68="","",IF(G68=0,"Paid",IF(I68&gt;0,"Overdue",IF(D68-'09_SETTINGS'!$I$5&lt;='09_SETTINGS'!$I$8,"Due Soon","Outstanding"))))</f>
        <v/>
      </c>
      <c r="I68" t="str">
        <f>IF(D68="","",MAX(0,'09_SETTINGS'!$I$8-D68))</f>
        <v/>
      </c>
      <c r="J68" s="43" t="str">
        <f t="shared" si="1"/>
        <v/>
      </c>
      <c r="K68" s="6"/>
    </row>
    <row r="69" spans="1:11">
      <c r="A69" s="2"/>
      <c r="B69" s="2"/>
      <c r="C69" s="5"/>
      <c r="D69" s="5"/>
      <c r="E69" s="3"/>
      <c r="F69" s="3"/>
      <c r="G69" s="23">
        <f t="shared" si="3"/>
        <v>0</v>
      </c>
      <c r="H69" t="str">
        <f>IF(D69="","",IF(G69=0,"Paid",IF(I69&gt;0,"Overdue",IF(D69-'09_SETTINGS'!$I$5&lt;='09_SETTINGS'!$I$8,"Due Soon","Outstanding"))))</f>
        <v/>
      </c>
      <c r="I69" t="str">
        <f>IF(D69="","",MAX(0,'09_SETTINGS'!$I$8-D69))</f>
        <v/>
      </c>
      <c r="J69" s="43" t="str">
        <f t="shared" ref="J69:J132" si="4">IF(D69="","",D69)</f>
        <v/>
      </c>
      <c r="K69" s="6"/>
    </row>
    <row r="70" spans="1:11">
      <c r="A70" s="2"/>
      <c r="B70" s="2"/>
      <c r="C70" s="5"/>
      <c r="D70" s="5"/>
      <c r="E70" s="3"/>
      <c r="F70" s="3"/>
      <c r="G70" s="23">
        <f t="shared" si="3"/>
        <v>0</v>
      </c>
      <c r="H70" t="str">
        <f>IF(D70="","",IF(G70=0,"Paid",IF(I70&gt;0,"Overdue",IF(D70-'09_SETTINGS'!$I$5&lt;='09_SETTINGS'!$I$8,"Due Soon","Outstanding"))))</f>
        <v/>
      </c>
      <c r="I70" t="str">
        <f>IF(D70="","",MAX(0,'09_SETTINGS'!$I$8-D70))</f>
        <v/>
      </c>
      <c r="J70" s="43" t="str">
        <f t="shared" si="4"/>
        <v/>
      </c>
      <c r="K70" s="6"/>
    </row>
    <row r="71" spans="1:11">
      <c r="A71" s="2"/>
      <c r="B71" s="2"/>
      <c r="C71" s="5"/>
      <c r="D71" s="5"/>
      <c r="E71" s="3"/>
      <c r="F71" s="3"/>
      <c r="G71" s="23">
        <f t="shared" si="3"/>
        <v>0</v>
      </c>
      <c r="H71" t="str">
        <f>IF(D71="","",IF(G71=0,"Paid",IF(I71&gt;0,"Overdue",IF(D71-'09_SETTINGS'!$I$5&lt;='09_SETTINGS'!$I$8,"Due Soon","Outstanding"))))</f>
        <v/>
      </c>
      <c r="I71" t="str">
        <f>IF(D71="","",MAX(0,'09_SETTINGS'!$I$8-D71))</f>
        <v/>
      </c>
      <c r="J71" s="43" t="str">
        <f t="shared" si="4"/>
        <v/>
      </c>
      <c r="K71" s="6"/>
    </row>
    <row r="72" spans="1:11">
      <c r="A72" s="2"/>
      <c r="B72" s="2"/>
      <c r="C72" s="5"/>
      <c r="D72" s="5"/>
      <c r="E72" s="3"/>
      <c r="F72" s="3"/>
      <c r="G72" s="23">
        <f t="shared" si="3"/>
        <v>0</v>
      </c>
      <c r="H72" t="str">
        <f>IF(D72="","",IF(G72=0,"Paid",IF(I72&gt;0,"Overdue",IF(D72-'09_SETTINGS'!$I$5&lt;='09_SETTINGS'!$I$8,"Due Soon","Outstanding"))))</f>
        <v/>
      </c>
      <c r="I72" t="str">
        <f>IF(D72="","",MAX(0,'09_SETTINGS'!$I$8-D72))</f>
        <v/>
      </c>
      <c r="J72" s="43" t="str">
        <f t="shared" si="4"/>
        <v/>
      </c>
      <c r="K72" s="6"/>
    </row>
    <row r="73" spans="1:11">
      <c r="A73" s="2"/>
      <c r="B73" s="2"/>
      <c r="C73" s="5"/>
      <c r="D73" s="5"/>
      <c r="E73" s="3"/>
      <c r="F73" s="3"/>
      <c r="G73" s="23">
        <f t="shared" si="3"/>
        <v>0</v>
      </c>
      <c r="H73" t="str">
        <f>IF(D73="","",IF(G73=0,"Paid",IF(I73&gt;0,"Overdue",IF(D73-'09_SETTINGS'!$I$5&lt;='09_SETTINGS'!$I$8,"Due Soon","Outstanding"))))</f>
        <v/>
      </c>
      <c r="I73" t="str">
        <f>IF(D73="","",MAX(0,'09_SETTINGS'!$I$8-D73))</f>
        <v/>
      </c>
      <c r="J73" s="43" t="str">
        <f t="shared" si="4"/>
        <v/>
      </c>
      <c r="K73" s="6"/>
    </row>
    <row r="74" spans="1:11">
      <c r="A74" s="2"/>
      <c r="B74" s="2"/>
      <c r="C74" s="5"/>
      <c r="D74" s="5"/>
      <c r="E74" s="3"/>
      <c r="F74" s="3"/>
      <c r="G74" s="23">
        <f t="shared" si="3"/>
        <v>0</v>
      </c>
      <c r="H74" t="str">
        <f>IF(D74="","",IF(G74=0,"Paid",IF(I74&gt;0,"Overdue",IF(D74-'09_SETTINGS'!$I$5&lt;='09_SETTINGS'!$I$8,"Due Soon","Outstanding"))))</f>
        <v/>
      </c>
      <c r="I74" t="str">
        <f>IF(D74="","",MAX(0,'09_SETTINGS'!$I$8-D74))</f>
        <v/>
      </c>
      <c r="J74" s="43" t="str">
        <f t="shared" si="4"/>
        <v/>
      </c>
      <c r="K74" s="6"/>
    </row>
    <row r="75" spans="1:11">
      <c r="A75" s="2"/>
      <c r="B75" s="2"/>
      <c r="C75" s="5"/>
      <c r="D75" s="5"/>
      <c r="E75" s="3"/>
      <c r="F75" s="3"/>
      <c r="G75" s="23">
        <f t="shared" si="3"/>
        <v>0</v>
      </c>
      <c r="H75" t="str">
        <f>IF(D75="","",IF(G75=0,"Paid",IF(I75&gt;0,"Overdue",IF(D75-'09_SETTINGS'!$I$5&lt;='09_SETTINGS'!$I$8,"Due Soon","Outstanding"))))</f>
        <v/>
      </c>
      <c r="I75" t="str">
        <f>IF(D75="","",MAX(0,'09_SETTINGS'!$I$8-D75))</f>
        <v/>
      </c>
      <c r="J75" s="43" t="str">
        <f t="shared" si="4"/>
        <v/>
      </c>
      <c r="K75" s="6"/>
    </row>
    <row r="76" spans="1:11">
      <c r="A76" s="2"/>
      <c r="B76" s="2"/>
      <c r="C76" s="5"/>
      <c r="D76" s="5"/>
      <c r="E76" s="3"/>
      <c r="F76" s="3"/>
      <c r="G76" s="23">
        <f t="shared" si="3"/>
        <v>0</v>
      </c>
      <c r="H76" t="str">
        <f>IF(D76="","",IF(G76=0,"Paid",IF(I76&gt;0,"Overdue",IF(D76-'09_SETTINGS'!$I$5&lt;='09_SETTINGS'!$I$8,"Due Soon","Outstanding"))))</f>
        <v/>
      </c>
      <c r="I76" t="str">
        <f>IF(D76="","",MAX(0,'09_SETTINGS'!$I$8-D76))</f>
        <v/>
      </c>
      <c r="J76" s="43" t="str">
        <f t="shared" si="4"/>
        <v/>
      </c>
      <c r="K76" s="6"/>
    </row>
    <row r="77" spans="1:11">
      <c r="A77" s="2"/>
      <c r="B77" s="2"/>
      <c r="C77" s="5"/>
      <c r="D77" s="5"/>
      <c r="E77" s="3"/>
      <c r="F77" s="3"/>
      <c r="G77" s="23">
        <f t="shared" si="3"/>
        <v>0</v>
      </c>
      <c r="H77" t="str">
        <f>IF(D77="","",IF(G77=0,"Paid",IF(I77&gt;0,"Overdue",IF(D77-'09_SETTINGS'!$I$5&lt;='09_SETTINGS'!$I$8,"Due Soon","Outstanding"))))</f>
        <v/>
      </c>
      <c r="I77" t="str">
        <f>IF(D77="","",MAX(0,'09_SETTINGS'!$I$8-D77))</f>
        <v/>
      </c>
      <c r="J77" s="43" t="str">
        <f t="shared" si="4"/>
        <v/>
      </c>
      <c r="K77" s="6"/>
    </row>
    <row r="78" spans="1:11">
      <c r="A78" s="2"/>
      <c r="B78" s="2"/>
      <c r="C78" s="5"/>
      <c r="D78" s="5"/>
      <c r="E78" s="3"/>
      <c r="F78" s="3"/>
      <c r="G78" s="23">
        <f t="shared" si="3"/>
        <v>0</v>
      </c>
      <c r="H78" t="str">
        <f>IF(D78="","",IF(G78=0,"Paid",IF(I78&gt;0,"Overdue",IF(D78-'09_SETTINGS'!$I$5&lt;='09_SETTINGS'!$I$8,"Due Soon","Outstanding"))))</f>
        <v/>
      </c>
      <c r="I78" t="str">
        <f>IF(D78="","",MAX(0,'09_SETTINGS'!$I$8-D78))</f>
        <v/>
      </c>
      <c r="J78" s="43" t="str">
        <f t="shared" si="4"/>
        <v/>
      </c>
      <c r="K78" s="6"/>
    </row>
    <row r="79" spans="1:11">
      <c r="A79" s="2"/>
      <c r="B79" s="2"/>
      <c r="C79" s="5"/>
      <c r="D79" s="5"/>
      <c r="E79" s="3"/>
      <c r="F79" s="3"/>
      <c r="G79" s="23">
        <f t="shared" si="3"/>
        <v>0</v>
      </c>
      <c r="H79" t="str">
        <f>IF(D79="","",IF(G79=0,"Paid",IF(I79&gt;0,"Overdue",IF(D79-'09_SETTINGS'!$I$5&lt;='09_SETTINGS'!$I$8,"Due Soon","Outstanding"))))</f>
        <v/>
      </c>
      <c r="I79" t="str">
        <f>IF(D79="","",MAX(0,'09_SETTINGS'!$I$8-D79))</f>
        <v/>
      </c>
      <c r="J79" s="43" t="str">
        <f t="shared" si="4"/>
        <v/>
      </c>
      <c r="K79" s="6"/>
    </row>
    <row r="80" spans="1:11">
      <c r="A80" s="2"/>
      <c r="B80" s="2"/>
      <c r="C80" s="5"/>
      <c r="D80" s="5"/>
      <c r="E80" s="3"/>
      <c r="F80" s="3"/>
      <c r="G80" s="23">
        <f t="shared" si="3"/>
        <v>0</v>
      </c>
      <c r="H80" t="str">
        <f>IF(D80="","",IF(G80=0,"Paid",IF(I80&gt;0,"Overdue",IF(D80-'09_SETTINGS'!$I$5&lt;='09_SETTINGS'!$I$8,"Due Soon","Outstanding"))))</f>
        <v/>
      </c>
      <c r="I80" t="str">
        <f>IF(D80="","",MAX(0,'09_SETTINGS'!$I$8-D80))</f>
        <v/>
      </c>
      <c r="J80" s="43" t="str">
        <f t="shared" si="4"/>
        <v/>
      </c>
      <c r="K80" s="6"/>
    </row>
    <row r="81" spans="1:11">
      <c r="A81" s="2"/>
      <c r="B81" s="2"/>
      <c r="C81" s="5"/>
      <c r="D81" s="5"/>
      <c r="E81" s="3"/>
      <c r="F81" s="3"/>
      <c r="G81" s="23">
        <f t="shared" si="3"/>
        <v>0</v>
      </c>
      <c r="H81" t="str">
        <f>IF(D81="","",IF(G81=0,"Paid",IF(I81&gt;0,"Overdue",IF(D81-'09_SETTINGS'!$I$5&lt;='09_SETTINGS'!$I$8,"Due Soon","Outstanding"))))</f>
        <v/>
      </c>
      <c r="I81" t="str">
        <f>IF(D81="","",MAX(0,'09_SETTINGS'!$I$8-D81))</f>
        <v/>
      </c>
      <c r="J81" s="43" t="str">
        <f t="shared" si="4"/>
        <v/>
      </c>
      <c r="K81" s="6"/>
    </row>
    <row r="82" spans="1:11">
      <c r="A82" s="2"/>
      <c r="B82" s="2"/>
      <c r="C82" s="5"/>
      <c r="D82" s="5"/>
      <c r="E82" s="3"/>
      <c r="F82" s="3"/>
      <c r="G82" s="23">
        <f t="shared" si="3"/>
        <v>0</v>
      </c>
      <c r="H82" t="str">
        <f>IF(D82="","",IF(G82=0,"Paid",IF(I82&gt;0,"Overdue",IF(D82-'09_SETTINGS'!$I$5&lt;='09_SETTINGS'!$I$8,"Due Soon","Outstanding"))))</f>
        <v/>
      </c>
      <c r="I82" t="str">
        <f>IF(D82="","",MAX(0,'09_SETTINGS'!$I$8-D82))</f>
        <v/>
      </c>
      <c r="J82" s="43" t="str">
        <f t="shared" si="4"/>
        <v/>
      </c>
      <c r="K82" s="6"/>
    </row>
    <row r="83" spans="1:11">
      <c r="A83" s="2"/>
      <c r="B83" s="2"/>
      <c r="C83" s="5"/>
      <c r="D83" s="5"/>
      <c r="E83" s="3"/>
      <c r="F83" s="3"/>
      <c r="G83" s="23">
        <f t="shared" si="3"/>
        <v>0</v>
      </c>
      <c r="H83" t="str">
        <f>IF(D83="","",IF(G83=0,"Paid",IF(I83&gt;0,"Overdue",IF(D83-'09_SETTINGS'!$I$5&lt;='09_SETTINGS'!$I$8,"Due Soon","Outstanding"))))</f>
        <v/>
      </c>
      <c r="I83" t="str">
        <f>IF(D83="","",MAX(0,'09_SETTINGS'!$I$8-D83))</f>
        <v/>
      </c>
      <c r="J83" s="43" t="str">
        <f t="shared" si="4"/>
        <v/>
      </c>
      <c r="K83" s="6"/>
    </row>
    <row r="84" spans="1:11">
      <c r="A84" s="2"/>
      <c r="B84" s="2"/>
      <c r="C84" s="5"/>
      <c r="D84" s="5"/>
      <c r="E84" s="3"/>
      <c r="F84" s="3"/>
      <c r="G84" s="23">
        <f t="shared" si="3"/>
        <v>0</v>
      </c>
      <c r="H84" t="str">
        <f>IF(D84="","",IF(G84=0,"Paid",IF(I84&gt;0,"Overdue",IF(D84-'09_SETTINGS'!$I$5&lt;='09_SETTINGS'!$I$8,"Due Soon","Outstanding"))))</f>
        <v/>
      </c>
      <c r="I84" t="str">
        <f>IF(D84="","",MAX(0,'09_SETTINGS'!$I$8-D84))</f>
        <v/>
      </c>
      <c r="J84" s="43" t="str">
        <f t="shared" si="4"/>
        <v/>
      </c>
      <c r="K84" s="6"/>
    </row>
    <row r="85" spans="1:11">
      <c r="A85" s="2"/>
      <c r="B85" s="2"/>
      <c r="C85" s="5"/>
      <c r="D85" s="5"/>
      <c r="E85" s="3"/>
      <c r="F85" s="3"/>
      <c r="G85" s="23">
        <f t="shared" si="3"/>
        <v>0</v>
      </c>
      <c r="H85" t="str">
        <f>IF(D85="","",IF(G85=0,"Paid",IF(I85&gt;0,"Overdue",IF(D85-'09_SETTINGS'!$I$5&lt;='09_SETTINGS'!$I$8,"Due Soon","Outstanding"))))</f>
        <v/>
      </c>
      <c r="I85" t="str">
        <f>IF(D85="","",MAX(0,'09_SETTINGS'!$I$8-D85))</f>
        <v/>
      </c>
      <c r="J85" s="43" t="str">
        <f t="shared" si="4"/>
        <v/>
      </c>
      <c r="K85" s="6"/>
    </row>
    <row r="86" spans="1:11">
      <c r="A86" s="2"/>
      <c r="B86" s="2"/>
      <c r="C86" s="5"/>
      <c r="D86" s="5"/>
      <c r="E86" s="3"/>
      <c r="F86" s="3"/>
      <c r="G86" s="23">
        <f t="shared" si="3"/>
        <v>0</v>
      </c>
      <c r="H86" t="str">
        <f>IF(D86="","",IF(G86=0,"Paid",IF(I86&gt;0,"Overdue",IF(D86-'09_SETTINGS'!$I$5&lt;='09_SETTINGS'!$I$8,"Due Soon","Outstanding"))))</f>
        <v/>
      </c>
      <c r="I86" t="str">
        <f>IF(D86="","",MAX(0,'09_SETTINGS'!$I$8-D86))</f>
        <v/>
      </c>
      <c r="J86" s="43" t="str">
        <f t="shared" si="4"/>
        <v/>
      </c>
      <c r="K86" s="6"/>
    </row>
    <row r="87" spans="1:11">
      <c r="A87" s="2"/>
      <c r="B87" s="2"/>
      <c r="C87" s="5"/>
      <c r="D87" s="5"/>
      <c r="E87" s="3"/>
      <c r="F87" s="3"/>
      <c r="G87" s="23">
        <f t="shared" si="3"/>
        <v>0</v>
      </c>
      <c r="H87" t="str">
        <f>IF(D87="","",IF(G87=0,"Paid",IF(I87&gt;0,"Overdue",IF(D87-'09_SETTINGS'!$I$5&lt;='09_SETTINGS'!$I$8,"Due Soon","Outstanding"))))</f>
        <v/>
      </c>
      <c r="I87" t="str">
        <f>IF(D87="","",MAX(0,'09_SETTINGS'!$I$8-D87))</f>
        <v/>
      </c>
      <c r="J87" s="43" t="str">
        <f t="shared" si="4"/>
        <v/>
      </c>
      <c r="K87" s="6"/>
    </row>
    <row r="88" spans="1:11">
      <c r="A88" s="2"/>
      <c r="B88" s="2"/>
      <c r="C88" s="5"/>
      <c r="D88" s="5"/>
      <c r="E88" s="3"/>
      <c r="F88" s="3"/>
      <c r="G88" s="23">
        <f t="shared" si="3"/>
        <v>0</v>
      </c>
      <c r="H88" t="str">
        <f>IF(D88="","",IF(G88=0,"Paid",IF(I88&gt;0,"Overdue",IF(D88-'09_SETTINGS'!$I$5&lt;='09_SETTINGS'!$I$8,"Due Soon","Outstanding"))))</f>
        <v/>
      </c>
      <c r="I88" t="str">
        <f>IF(D88="","",MAX(0,'09_SETTINGS'!$I$8-D88))</f>
        <v/>
      </c>
      <c r="J88" s="43" t="str">
        <f t="shared" si="4"/>
        <v/>
      </c>
      <c r="K88" s="6"/>
    </row>
    <row r="89" spans="1:11">
      <c r="A89" s="2"/>
      <c r="B89" s="2"/>
      <c r="C89" s="5"/>
      <c r="D89" s="5"/>
      <c r="E89" s="3"/>
      <c r="F89" s="3"/>
      <c r="G89" s="23">
        <f t="shared" si="3"/>
        <v>0</v>
      </c>
      <c r="H89" t="str">
        <f>IF(D89="","",IF(G89=0,"Paid",IF(I89&gt;0,"Overdue",IF(D89-'09_SETTINGS'!$I$5&lt;='09_SETTINGS'!$I$8,"Due Soon","Outstanding"))))</f>
        <v/>
      </c>
      <c r="I89" t="str">
        <f>IF(D89="","",MAX(0,'09_SETTINGS'!$I$8-D89))</f>
        <v/>
      </c>
      <c r="J89" s="43" t="str">
        <f t="shared" si="4"/>
        <v/>
      </c>
      <c r="K89" s="6"/>
    </row>
    <row r="90" spans="1:11">
      <c r="A90" s="2"/>
      <c r="B90" s="2"/>
      <c r="C90" s="5"/>
      <c r="D90" s="5"/>
      <c r="E90" s="3"/>
      <c r="F90" s="3"/>
      <c r="G90" s="23">
        <f t="shared" si="3"/>
        <v>0</v>
      </c>
      <c r="H90" t="str">
        <f>IF(D90="","",IF(G90=0,"Paid",IF(I90&gt;0,"Overdue",IF(D90-'09_SETTINGS'!$I$5&lt;='09_SETTINGS'!$I$8,"Due Soon","Outstanding"))))</f>
        <v/>
      </c>
      <c r="I90" t="str">
        <f>IF(D90="","",MAX(0,'09_SETTINGS'!$I$8-D90))</f>
        <v/>
      </c>
      <c r="J90" s="43" t="str">
        <f t="shared" si="4"/>
        <v/>
      </c>
      <c r="K90" s="6"/>
    </row>
    <row r="91" spans="1:11">
      <c r="A91" s="2"/>
      <c r="B91" s="2"/>
      <c r="C91" s="5"/>
      <c r="D91" s="5"/>
      <c r="E91" s="3"/>
      <c r="F91" s="3"/>
      <c r="G91" s="23">
        <f t="shared" si="3"/>
        <v>0</v>
      </c>
      <c r="H91" t="str">
        <f>IF(D91="","",IF(G91=0,"Paid",IF(I91&gt;0,"Overdue",IF(D91-'09_SETTINGS'!$I$5&lt;='09_SETTINGS'!$I$8,"Due Soon","Outstanding"))))</f>
        <v/>
      </c>
      <c r="I91" t="str">
        <f>IF(D91="","",MAX(0,'09_SETTINGS'!$I$8-D91))</f>
        <v/>
      </c>
      <c r="J91" s="43" t="str">
        <f t="shared" si="4"/>
        <v/>
      </c>
      <c r="K91" s="6"/>
    </row>
    <row r="92" spans="1:11">
      <c r="A92" s="2"/>
      <c r="B92" s="2"/>
      <c r="C92" s="5"/>
      <c r="D92" s="5"/>
      <c r="E92" s="3"/>
      <c r="F92" s="3"/>
      <c r="G92" s="23">
        <f t="shared" si="3"/>
        <v>0</v>
      </c>
      <c r="H92" t="str">
        <f>IF(D92="","",IF(G92=0,"Paid",IF(I92&gt;0,"Overdue",IF(D92-'09_SETTINGS'!$I$5&lt;='09_SETTINGS'!$I$8,"Due Soon","Outstanding"))))</f>
        <v/>
      </c>
      <c r="I92" t="str">
        <f>IF(D92="","",MAX(0,'09_SETTINGS'!$I$8-D92))</f>
        <v/>
      </c>
      <c r="J92" s="43" t="str">
        <f t="shared" si="4"/>
        <v/>
      </c>
      <c r="K92" s="6"/>
    </row>
    <row r="93" spans="1:11">
      <c r="A93" s="2"/>
      <c r="B93" s="2"/>
      <c r="C93" s="5"/>
      <c r="D93" s="5"/>
      <c r="E93" s="3"/>
      <c r="F93" s="3"/>
      <c r="G93" s="23">
        <f t="shared" si="3"/>
        <v>0</v>
      </c>
      <c r="H93" t="str">
        <f>IF(D93="","",IF(G93=0,"Paid",IF(I93&gt;0,"Overdue",IF(D93-'09_SETTINGS'!$I$5&lt;='09_SETTINGS'!$I$8,"Due Soon","Outstanding"))))</f>
        <v/>
      </c>
      <c r="I93" t="str">
        <f>IF(D93="","",MAX(0,'09_SETTINGS'!$I$8-D93))</f>
        <v/>
      </c>
      <c r="J93" s="43" t="str">
        <f t="shared" si="4"/>
        <v/>
      </c>
      <c r="K93" s="6"/>
    </row>
    <row r="94" spans="1:11">
      <c r="A94" s="2"/>
      <c r="B94" s="2"/>
      <c r="C94" s="5"/>
      <c r="D94" s="5"/>
      <c r="E94" s="3"/>
      <c r="F94" s="3"/>
      <c r="G94" s="23">
        <f t="shared" si="3"/>
        <v>0</v>
      </c>
      <c r="H94" t="str">
        <f>IF(D94="","",IF(G94=0,"Paid",IF(I94&gt;0,"Overdue",IF(D94-'09_SETTINGS'!$I$5&lt;='09_SETTINGS'!$I$8,"Due Soon","Outstanding"))))</f>
        <v/>
      </c>
      <c r="I94" t="str">
        <f>IF(D94="","",MAX(0,'09_SETTINGS'!$I$8-D94))</f>
        <v/>
      </c>
      <c r="J94" s="43" t="str">
        <f t="shared" si="4"/>
        <v/>
      </c>
      <c r="K94" s="6"/>
    </row>
    <row r="95" spans="1:11">
      <c r="A95" s="2"/>
      <c r="B95" s="2"/>
      <c r="C95" s="5"/>
      <c r="D95" s="5"/>
      <c r="E95" s="3"/>
      <c r="F95" s="3"/>
      <c r="G95" s="23">
        <f t="shared" si="3"/>
        <v>0</v>
      </c>
      <c r="H95" t="str">
        <f>IF(D95="","",IF(G95=0,"Paid",IF(I95&gt;0,"Overdue",IF(D95-'09_SETTINGS'!$I$5&lt;='09_SETTINGS'!$I$8,"Due Soon","Outstanding"))))</f>
        <v/>
      </c>
      <c r="I95" t="str">
        <f>IF(D95="","",MAX(0,'09_SETTINGS'!$I$8-D95))</f>
        <v/>
      </c>
      <c r="J95" s="43" t="str">
        <f t="shared" si="4"/>
        <v/>
      </c>
      <c r="K95" s="6"/>
    </row>
    <row r="96" spans="1:11">
      <c r="A96" s="2"/>
      <c r="B96" s="2"/>
      <c r="C96" s="5"/>
      <c r="D96" s="5"/>
      <c r="E96" s="3"/>
      <c r="F96" s="3"/>
      <c r="G96" s="23">
        <f t="shared" si="3"/>
        <v>0</v>
      </c>
      <c r="H96" t="str">
        <f>IF(D96="","",IF(G96=0,"Paid",IF(I96&gt;0,"Overdue",IF(D96-'09_SETTINGS'!$I$5&lt;='09_SETTINGS'!$I$8,"Due Soon","Outstanding"))))</f>
        <v/>
      </c>
      <c r="I96" t="str">
        <f>IF(D96="","",MAX(0,'09_SETTINGS'!$I$8-D96))</f>
        <v/>
      </c>
      <c r="J96" s="43" t="str">
        <f t="shared" si="4"/>
        <v/>
      </c>
      <c r="K96" s="6"/>
    </row>
    <row r="97" spans="1:11">
      <c r="A97" s="2"/>
      <c r="B97" s="2"/>
      <c r="C97" s="5"/>
      <c r="D97" s="5"/>
      <c r="E97" s="3"/>
      <c r="F97" s="3"/>
      <c r="G97" s="23">
        <f t="shared" si="3"/>
        <v>0</v>
      </c>
      <c r="H97" t="str">
        <f>IF(D97="","",IF(G97=0,"Paid",IF(I97&gt;0,"Overdue",IF(D97-'09_SETTINGS'!$I$5&lt;='09_SETTINGS'!$I$8,"Due Soon","Outstanding"))))</f>
        <v/>
      </c>
      <c r="I97" t="str">
        <f>IF(D97="","",MAX(0,'09_SETTINGS'!$I$8-D97))</f>
        <v/>
      </c>
      <c r="J97" s="43" t="str">
        <f t="shared" si="4"/>
        <v/>
      </c>
      <c r="K97" s="6"/>
    </row>
    <row r="98" spans="1:11">
      <c r="A98" s="2"/>
      <c r="B98" s="2"/>
      <c r="C98" s="5"/>
      <c r="D98" s="5"/>
      <c r="E98" s="3"/>
      <c r="F98" s="3"/>
      <c r="G98" s="23">
        <f t="shared" si="3"/>
        <v>0</v>
      </c>
      <c r="H98" t="str">
        <f>IF(D98="","",IF(G98=0,"Paid",IF(I98&gt;0,"Overdue",IF(D98-'09_SETTINGS'!$I$5&lt;='09_SETTINGS'!$I$8,"Due Soon","Outstanding"))))</f>
        <v/>
      </c>
      <c r="I98" t="str">
        <f>IF(D98="","",MAX(0,'09_SETTINGS'!$I$8-D98))</f>
        <v/>
      </c>
      <c r="J98" s="43" t="str">
        <f t="shared" si="4"/>
        <v/>
      </c>
      <c r="K98" s="6"/>
    </row>
    <row r="99" spans="1:11">
      <c r="A99" s="2"/>
      <c r="B99" s="2"/>
      <c r="C99" s="5"/>
      <c r="D99" s="5"/>
      <c r="E99" s="3"/>
      <c r="F99" s="3"/>
      <c r="G99" s="23">
        <f t="shared" si="3"/>
        <v>0</v>
      </c>
      <c r="H99" t="str">
        <f>IF(D99="","",IF(G99=0,"Paid",IF(I99&gt;0,"Overdue",IF(D99-'09_SETTINGS'!$I$5&lt;='09_SETTINGS'!$I$8,"Due Soon","Outstanding"))))</f>
        <v/>
      </c>
      <c r="I99" t="str">
        <f>IF(D99="","",MAX(0,'09_SETTINGS'!$I$8-D99))</f>
        <v/>
      </c>
      <c r="J99" s="43" t="str">
        <f t="shared" si="4"/>
        <v/>
      </c>
      <c r="K99" s="6"/>
    </row>
    <row r="100" spans="1:11">
      <c r="A100" s="2"/>
      <c r="B100" s="2"/>
      <c r="C100" s="5"/>
      <c r="D100" s="5"/>
      <c r="E100" s="3"/>
      <c r="F100" s="3"/>
      <c r="G100" s="23">
        <f t="shared" ref="G100:G131" si="5">E100-F100</f>
        <v>0</v>
      </c>
      <c r="H100" t="str">
        <f>IF(D100="","",IF(G100=0,"Paid",IF(I100&gt;0,"Overdue",IF(D100-'09_SETTINGS'!$I$5&lt;='09_SETTINGS'!$I$8,"Due Soon","Outstanding"))))</f>
        <v/>
      </c>
      <c r="I100" t="str">
        <f>IF(D100="","",MAX(0,'09_SETTINGS'!$I$8-D100))</f>
        <v/>
      </c>
      <c r="J100" s="43" t="str">
        <f t="shared" si="4"/>
        <v/>
      </c>
      <c r="K100" s="6"/>
    </row>
    <row r="101" spans="1:11">
      <c r="A101" s="2"/>
      <c r="B101" s="2"/>
      <c r="C101" s="5"/>
      <c r="D101" s="5"/>
      <c r="E101" s="3"/>
      <c r="F101" s="3"/>
      <c r="G101" s="23">
        <f t="shared" si="5"/>
        <v>0</v>
      </c>
      <c r="H101" t="str">
        <f>IF(D101="","",IF(G101=0,"Paid",IF(I101&gt;0,"Overdue",IF(D101-'09_SETTINGS'!$I$5&lt;='09_SETTINGS'!$I$8,"Due Soon","Outstanding"))))</f>
        <v/>
      </c>
      <c r="I101" t="str">
        <f>IF(D101="","",MAX(0,'09_SETTINGS'!$I$8-D101))</f>
        <v/>
      </c>
      <c r="J101" s="43" t="str">
        <f t="shared" si="4"/>
        <v/>
      </c>
      <c r="K101" s="6"/>
    </row>
    <row r="102" spans="1:11">
      <c r="A102" s="2"/>
      <c r="B102" s="2"/>
      <c r="C102" s="5"/>
      <c r="D102" s="5"/>
      <c r="E102" s="3"/>
      <c r="F102" s="3"/>
      <c r="G102" s="23">
        <f t="shared" si="5"/>
        <v>0</v>
      </c>
      <c r="H102" t="str">
        <f>IF(D102="","",IF(G102=0,"Paid",IF(I102&gt;0,"Overdue",IF(D102-'09_SETTINGS'!$I$5&lt;='09_SETTINGS'!$I$8,"Due Soon","Outstanding"))))</f>
        <v/>
      </c>
      <c r="I102" t="str">
        <f>IF(D102="","",MAX(0,'09_SETTINGS'!$I$8-D102))</f>
        <v/>
      </c>
      <c r="J102" s="43" t="str">
        <f t="shared" si="4"/>
        <v/>
      </c>
      <c r="K102" s="6"/>
    </row>
    <row r="103" spans="1:11">
      <c r="A103" s="2"/>
      <c r="B103" s="2"/>
      <c r="C103" s="5"/>
      <c r="D103" s="5"/>
      <c r="E103" s="3"/>
      <c r="F103" s="3"/>
      <c r="G103" s="23">
        <f t="shared" si="5"/>
        <v>0</v>
      </c>
      <c r="H103" t="str">
        <f>IF(D103="","",IF(G103=0,"Paid",IF(I103&gt;0,"Overdue",IF(D103-'09_SETTINGS'!$I$5&lt;='09_SETTINGS'!$I$8,"Due Soon","Outstanding"))))</f>
        <v/>
      </c>
      <c r="I103" t="str">
        <f>IF(D103="","",MAX(0,'09_SETTINGS'!$I$8-D103))</f>
        <v/>
      </c>
      <c r="J103" s="43" t="str">
        <f t="shared" si="4"/>
        <v/>
      </c>
      <c r="K103" s="6"/>
    </row>
    <row r="104" spans="1:11">
      <c r="A104" s="2"/>
      <c r="B104" s="2"/>
      <c r="C104" s="5"/>
      <c r="D104" s="5"/>
      <c r="E104" s="3"/>
      <c r="F104" s="3"/>
      <c r="G104" s="23">
        <f t="shared" si="5"/>
        <v>0</v>
      </c>
      <c r="H104" t="str">
        <f>IF(D104="","",IF(G104=0,"Paid",IF(I104&gt;0,"Overdue",IF(D104-'09_SETTINGS'!$I$5&lt;='09_SETTINGS'!$I$8,"Due Soon","Outstanding"))))</f>
        <v/>
      </c>
      <c r="I104" t="str">
        <f>IF(D104="","",MAX(0,'09_SETTINGS'!$I$8-D104))</f>
        <v/>
      </c>
      <c r="J104" s="43" t="str">
        <f t="shared" si="4"/>
        <v/>
      </c>
      <c r="K104" s="6"/>
    </row>
    <row r="105" spans="1:11">
      <c r="A105" s="2"/>
      <c r="B105" s="2"/>
      <c r="C105" s="5"/>
      <c r="D105" s="5"/>
      <c r="E105" s="3"/>
      <c r="F105" s="3"/>
      <c r="G105" s="23">
        <f t="shared" si="5"/>
        <v>0</v>
      </c>
      <c r="H105" t="str">
        <f>IF(D105="","",IF(G105=0,"Paid",IF(I105&gt;0,"Overdue",IF(D105-'09_SETTINGS'!$I$5&lt;='09_SETTINGS'!$I$8,"Due Soon","Outstanding"))))</f>
        <v/>
      </c>
      <c r="I105" t="str">
        <f>IF(D105="","",MAX(0,'09_SETTINGS'!$I$8-D105))</f>
        <v/>
      </c>
      <c r="J105" s="43" t="str">
        <f t="shared" si="4"/>
        <v/>
      </c>
      <c r="K105" s="6"/>
    </row>
    <row r="106" spans="1:11">
      <c r="A106" s="2"/>
      <c r="B106" s="2"/>
      <c r="C106" s="5"/>
      <c r="D106" s="5"/>
      <c r="E106" s="3"/>
      <c r="F106" s="3"/>
      <c r="G106" s="23">
        <f t="shared" si="5"/>
        <v>0</v>
      </c>
      <c r="H106" t="str">
        <f>IF(D106="","",IF(G106=0,"Paid",IF(I106&gt;0,"Overdue",IF(D106-'09_SETTINGS'!$I$5&lt;='09_SETTINGS'!$I$8,"Due Soon","Outstanding"))))</f>
        <v/>
      </c>
      <c r="I106" t="str">
        <f>IF(D106="","",MAX(0,'09_SETTINGS'!$I$8-D106))</f>
        <v/>
      </c>
      <c r="J106" s="43" t="str">
        <f t="shared" si="4"/>
        <v/>
      </c>
      <c r="K106" s="6"/>
    </row>
    <row r="107" spans="1:11">
      <c r="A107" s="2"/>
      <c r="B107" s="2"/>
      <c r="C107" s="5"/>
      <c r="D107" s="5"/>
      <c r="E107" s="3"/>
      <c r="F107" s="3"/>
      <c r="G107" s="23">
        <f t="shared" si="5"/>
        <v>0</v>
      </c>
      <c r="H107" t="str">
        <f>IF(D107="","",IF(G107=0,"Paid",IF(I107&gt;0,"Overdue",IF(D107-'09_SETTINGS'!$I$5&lt;='09_SETTINGS'!$I$8,"Due Soon","Outstanding"))))</f>
        <v/>
      </c>
      <c r="I107" t="str">
        <f>IF(D107="","",MAX(0,'09_SETTINGS'!$I$8-D107))</f>
        <v/>
      </c>
      <c r="J107" s="43" t="str">
        <f t="shared" si="4"/>
        <v/>
      </c>
      <c r="K107" s="6"/>
    </row>
    <row r="108" spans="1:11">
      <c r="A108" s="2"/>
      <c r="B108" s="2"/>
      <c r="C108" s="5"/>
      <c r="D108" s="5"/>
      <c r="E108" s="3"/>
      <c r="F108" s="3"/>
      <c r="G108" s="23">
        <f t="shared" si="5"/>
        <v>0</v>
      </c>
      <c r="H108" t="str">
        <f>IF(D108="","",IF(G108=0,"Paid",IF(I108&gt;0,"Overdue",IF(D108-'09_SETTINGS'!$I$5&lt;='09_SETTINGS'!$I$8,"Due Soon","Outstanding"))))</f>
        <v/>
      </c>
      <c r="I108" t="str">
        <f>IF(D108="","",MAX(0,'09_SETTINGS'!$I$8-D108))</f>
        <v/>
      </c>
      <c r="J108" s="43" t="str">
        <f t="shared" si="4"/>
        <v/>
      </c>
      <c r="K108" s="6"/>
    </row>
    <row r="109" spans="1:11">
      <c r="A109" s="2"/>
      <c r="B109" s="2"/>
      <c r="C109" s="5"/>
      <c r="D109" s="5"/>
      <c r="E109" s="3"/>
      <c r="F109" s="3"/>
      <c r="G109" s="23">
        <f t="shared" si="5"/>
        <v>0</v>
      </c>
      <c r="H109" t="str">
        <f>IF(D109="","",IF(G109=0,"Paid",IF(I109&gt;0,"Overdue",IF(D109-'09_SETTINGS'!$I$5&lt;='09_SETTINGS'!$I$8,"Due Soon","Outstanding"))))</f>
        <v/>
      </c>
      <c r="I109" t="str">
        <f>IF(D109="","",MAX(0,'09_SETTINGS'!$I$8-D109))</f>
        <v/>
      </c>
      <c r="J109" s="43" t="str">
        <f t="shared" si="4"/>
        <v/>
      </c>
      <c r="K109" s="6"/>
    </row>
    <row r="110" spans="1:11">
      <c r="A110" s="2"/>
      <c r="B110" s="2"/>
      <c r="C110" s="5"/>
      <c r="D110" s="5"/>
      <c r="E110" s="3"/>
      <c r="F110" s="3"/>
      <c r="G110" s="23">
        <f t="shared" si="5"/>
        <v>0</v>
      </c>
      <c r="H110" t="str">
        <f>IF(D110="","",IF(G110=0,"Paid",IF(I110&gt;0,"Overdue",IF(D110-'09_SETTINGS'!$I$5&lt;='09_SETTINGS'!$I$8,"Due Soon","Outstanding"))))</f>
        <v/>
      </c>
      <c r="I110" t="str">
        <f>IF(D110="","",MAX(0,'09_SETTINGS'!$I$8-D110))</f>
        <v/>
      </c>
      <c r="J110" s="43" t="str">
        <f t="shared" si="4"/>
        <v/>
      </c>
      <c r="K110" s="6"/>
    </row>
    <row r="111" spans="1:11">
      <c r="A111" s="2"/>
      <c r="B111" s="2"/>
      <c r="C111" s="5"/>
      <c r="D111" s="5"/>
      <c r="E111" s="3"/>
      <c r="F111" s="3"/>
      <c r="G111" s="23">
        <f t="shared" si="5"/>
        <v>0</v>
      </c>
      <c r="H111" t="str">
        <f>IF(D111="","",IF(G111=0,"Paid",IF(I111&gt;0,"Overdue",IF(D111-'09_SETTINGS'!$I$5&lt;='09_SETTINGS'!$I$8,"Due Soon","Outstanding"))))</f>
        <v/>
      </c>
      <c r="I111" t="str">
        <f>IF(D111="","",MAX(0,'09_SETTINGS'!$I$8-D111))</f>
        <v/>
      </c>
      <c r="J111" s="43" t="str">
        <f t="shared" si="4"/>
        <v/>
      </c>
      <c r="K111" s="6"/>
    </row>
    <row r="112" spans="1:11">
      <c r="A112" s="2"/>
      <c r="B112" s="2"/>
      <c r="C112" s="5"/>
      <c r="D112" s="5"/>
      <c r="E112" s="3"/>
      <c r="F112" s="3"/>
      <c r="G112" s="23">
        <f t="shared" si="5"/>
        <v>0</v>
      </c>
      <c r="H112" t="str">
        <f>IF(D112="","",IF(G112=0,"Paid",IF(I112&gt;0,"Overdue",IF(D112-'09_SETTINGS'!$I$5&lt;='09_SETTINGS'!$I$8,"Due Soon","Outstanding"))))</f>
        <v/>
      </c>
      <c r="I112" t="str">
        <f>IF(D112="","",MAX(0,'09_SETTINGS'!$I$8-D112))</f>
        <v/>
      </c>
      <c r="J112" s="43" t="str">
        <f t="shared" si="4"/>
        <v/>
      </c>
      <c r="K112" s="6"/>
    </row>
    <row r="113" spans="1:11">
      <c r="A113" s="2"/>
      <c r="B113" s="2"/>
      <c r="C113" s="5"/>
      <c r="D113" s="5"/>
      <c r="E113" s="3"/>
      <c r="F113" s="3"/>
      <c r="G113" s="23">
        <f t="shared" si="5"/>
        <v>0</v>
      </c>
      <c r="H113" t="str">
        <f>IF(D113="","",IF(G113=0,"Paid",IF(I113&gt;0,"Overdue",IF(D113-'09_SETTINGS'!$I$5&lt;='09_SETTINGS'!$I$8,"Due Soon","Outstanding"))))</f>
        <v/>
      </c>
      <c r="I113" t="str">
        <f>IF(D113="","",MAX(0,'09_SETTINGS'!$I$8-D113))</f>
        <v/>
      </c>
      <c r="J113" s="43" t="str">
        <f t="shared" si="4"/>
        <v/>
      </c>
      <c r="K113" s="6"/>
    </row>
    <row r="114" spans="1:11">
      <c r="A114" s="2"/>
      <c r="B114" s="2"/>
      <c r="C114" s="5"/>
      <c r="D114" s="5"/>
      <c r="E114" s="3"/>
      <c r="F114" s="3"/>
      <c r="G114" s="23">
        <f t="shared" si="5"/>
        <v>0</v>
      </c>
      <c r="H114" t="str">
        <f>IF(D114="","",IF(G114=0,"Paid",IF(I114&gt;0,"Overdue",IF(D114-'09_SETTINGS'!$I$5&lt;='09_SETTINGS'!$I$8,"Due Soon","Outstanding"))))</f>
        <v/>
      </c>
      <c r="I114" t="str">
        <f>IF(D114="","",MAX(0,'09_SETTINGS'!$I$8-D114))</f>
        <v/>
      </c>
      <c r="J114" s="43" t="str">
        <f t="shared" si="4"/>
        <v/>
      </c>
      <c r="K114" s="6"/>
    </row>
    <row r="115" spans="1:11">
      <c r="A115" s="2"/>
      <c r="B115" s="2"/>
      <c r="C115" s="5"/>
      <c r="D115" s="5"/>
      <c r="E115" s="3"/>
      <c r="F115" s="3"/>
      <c r="G115" s="23">
        <f t="shared" si="5"/>
        <v>0</v>
      </c>
      <c r="H115" t="str">
        <f>IF(D115="","",IF(G115=0,"Paid",IF(I115&gt;0,"Overdue",IF(D115-'09_SETTINGS'!$I$5&lt;='09_SETTINGS'!$I$8,"Due Soon","Outstanding"))))</f>
        <v/>
      </c>
      <c r="I115" t="str">
        <f>IF(D115="","",MAX(0,'09_SETTINGS'!$I$8-D115))</f>
        <v/>
      </c>
      <c r="J115" s="43" t="str">
        <f t="shared" si="4"/>
        <v/>
      </c>
      <c r="K115" s="6"/>
    </row>
    <row r="116" spans="1:11">
      <c r="A116" s="2"/>
      <c r="B116" s="2"/>
      <c r="C116" s="5"/>
      <c r="D116" s="5"/>
      <c r="E116" s="3"/>
      <c r="F116" s="3"/>
      <c r="G116" s="23">
        <f t="shared" si="5"/>
        <v>0</v>
      </c>
      <c r="H116" t="str">
        <f>IF(D116="","",IF(G116=0,"Paid",IF(I116&gt;0,"Overdue",IF(D116-'09_SETTINGS'!$I$5&lt;='09_SETTINGS'!$I$8,"Due Soon","Outstanding"))))</f>
        <v/>
      </c>
      <c r="I116" t="str">
        <f>IF(D116="","",MAX(0,'09_SETTINGS'!$I$8-D116))</f>
        <v/>
      </c>
      <c r="J116" s="43" t="str">
        <f t="shared" si="4"/>
        <v/>
      </c>
      <c r="K116" s="6"/>
    </row>
    <row r="117" spans="1:11">
      <c r="A117" s="2"/>
      <c r="B117" s="2"/>
      <c r="C117" s="5"/>
      <c r="D117" s="5"/>
      <c r="E117" s="3"/>
      <c r="F117" s="3"/>
      <c r="G117" s="23">
        <f t="shared" si="5"/>
        <v>0</v>
      </c>
      <c r="H117" t="str">
        <f>IF(D117="","",IF(G117=0,"Paid",IF(I117&gt;0,"Overdue",IF(D117-'09_SETTINGS'!$I$5&lt;='09_SETTINGS'!$I$8,"Due Soon","Outstanding"))))</f>
        <v/>
      </c>
      <c r="I117" t="str">
        <f>IF(D117="","",MAX(0,'09_SETTINGS'!$I$8-D117))</f>
        <v/>
      </c>
      <c r="J117" s="43" t="str">
        <f t="shared" si="4"/>
        <v/>
      </c>
      <c r="K117" s="6"/>
    </row>
    <row r="118" spans="1:11">
      <c r="A118" s="2"/>
      <c r="B118" s="2"/>
      <c r="C118" s="5"/>
      <c r="D118" s="5"/>
      <c r="E118" s="3"/>
      <c r="F118" s="3"/>
      <c r="G118" s="23">
        <f t="shared" si="5"/>
        <v>0</v>
      </c>
      <c r="H118" t="str">
        <f>IF(D118="","",IF(G118=0,"Paid",IF(I118&gt;0,"Overdue",IF(D118-'09_SETTINGS'!$I$5&lt;='09_SETTINGS'!$I$8,"Due Soon","Outstanding"))))</f>
        <v/>
      </c>
      <c r="I118" t="str">
        <f>IF(D118="","",MAX(0,'09_SETTINGS'!$I$8-D118))</f>
        <v/>
      </c>
      <c r="J118" s="43" t="str">
        <f t="shared" si="4"/>
        <v/>
      </c>
      <c r="K118" s="6"/>
    </row>
    <row r="119" spans="1:11">
      <c r="A119" s="2"/>
      <c r="B119" s="2"/>
      <c r="C119" s="5"/>
      <c r="D119" s="5"/>
      <c r="E119" s="3"/>
      <c r="F119" s="3"/>
      <c r="G119" s="23">
        <f t="shared" si="5"/>
        <v>0</v>
      </c>
      <c r="H119" t="str">
        <f>IF(D119="","",IF(G119=0,"Paid",IF(I119&gt;0,"Overdue",IF(D119-'09_SETTINGS'!$I$5&lt;='09_SETTINGS'!$I$8,"Due Soon","Outstanding"))))</f>
        <v/>
      </c>
      <c r="I119" t="str">
        <f>IF(D119="","",MAX(0,'09_SETTINGS'!$I$8-D119))</f>
        <v/>
      </c>
      <c r="J119" s="43" t="str">
        <f t="shared" si="4"/>
        <v/>
      </c>
      <c r="K119" s="6"/>
    </row>
    <row r="120" spans="1:11">
      <c r="A120" s="2"/>
      <c r="B120" s="2"/>
      <c r="C120" s="5"/>
      <c r="D120" s="5"/>
      <c r="E120" s="3"/>
      <c r="F120" s="3"/>
      <c r="G120" s="23">
        <f t="shared" si="5"/>
        <v>0</v>
      </c>
      <c r="H120" t="str">
        <f>IF(D120="","",IF(G120=0,"Paid",IF(I120&gt;0,"Overdue",IF(D120-'09_SETTINGS'!$I$5&lt;='09_SETTINGS'!$I$8,"Due Soon","Outstanding"))))</f>
        <v/>
      </c>
      <c r="I120" t="str">
        <f>IF(D120="","",MAX(0,'09_SETTINGS'!$I$8-D120))</f>
        <v/>
      </c>
      <c r="J120" s="43" t="str">
        <f t="shared" si="4"/>
        <v/>
      </c>
      <c r="K120" s="6"/>
    </row>
    <row r="121" spans="1:11">
      <c r="A121" s="2"/>
      <c r="B121" s="2"/>
      <c r="C121" s="5"/>
      <c r="D121" s="5"/>
      <c r="E121" s="3"/>
      <c r="F121" s="3"/>
      <c r="G121" s="23">
        <f t="shared" si="5"/>
        <v>0</v>
      </c>
      <c r="H121" t="str">
        <f>IF(D121="","",IF(G121=0,"Paid",IF(I121&gt;0,"Overdue",IF(D121-'09_SETTINGS'!$I$5&lt;='09_SETTINGS'!$I$8,"Due Soon","Outstanding"))))</f>
        <v/>
      </c>
      <c r="I121" t="str">
        <f>IF(D121="","",MAX(0,'09_SETTINGS'!$I$8-D121))</f>
        <v/>
      </c>
      <c r="J121" s="43" t="str">
        <f t="shared" si="4"/>
        <v/>
      </c>
      <c r="K121" s="6"/>
    </row>
    <row r="122" spans="1:11">
      <c r="A122" s="2"/>
      <c r="B122" s="2"/>
      <c r="C122" s="5"/>
      <c r="D122" s="5"/>
      <c r="E122" s="3"/>
      <c r="F122" s="3"/>
      <c r="G122" s="23">
        <f t="shared" si="5"/>
        <v>0</v>
      </c>
      <c r="H122" t="str">
        <f>IF(D122="","",IF(G122=0,"Paid",IF(I122&gt;0,"Overdue",IF(D122-'09_SETTINGS'!$I$5&lt;='09_SETTINGS'!$I$8,"Due Soon","Outstanding"))))</f>
        <v/>
      </c>
      <c r="I122" t="str">
        <f>IF(D122="","",MAX(0,'09_SETTINGS'!$I$8-D122))</f>
        <v/>
      </c>
      <c r="J122" s="43" t="str">
        <f t="shared" si="4"/>
        <v/>
      </c>
      <c r="K122" s="6"/>
    </row>
    <row r="123" spans="1:11">
      <c r="A123" s="2"/>
      <c r="B123" s="2"/>
      <c r="C123" s="5"/>
      <c r="D123" s="5"/>
      <c r="E123" s="3"/>
      <c r="F123" s="3"/>
      <c r="G123" s="23">
        <f t="shared" si="5"/>
        <v>0</v>
      </c>
      <c r="H123" t="str">
        <f>IF(D123="","",IF(G123=0,"Paid",IF(I123&gt;0,"Overdue",IF(D123-'09_SETTINGS'!$I$5&lt;='09_SETTINGS'!$I$8,"Due Soon","Outstanding"))))</f>
        <v/>
      </c>
      <c r="I123" t="str">
        <f>IF(D123="","",MAX(0,'09_SETTINGS'!$I$8-D123))</f>
        <v/>
      </c>
      <c r="J123" s="43" t="str">
        <f t="shared" si="4"/>
        <v/>
      </c>
      <c r="K123" s="6"/>
    </row>
    <row r="124" spans="1:11">
      <c r="A124" s="2"/>
      <c r="B124" s="2"/>
      <c r="C124" s="5"/>
      <c r="D124" s="5"/>
      <c r="E124" s="3"/>
      <c r="F124" s="3"/>
      <c r="G124" s="23">
        <f t="shared" si="5"/>
        <v>0</v>
      </c>
      <c r="H124" t="str">
        <f>IF(D124="","",IF(G124=0,"Paid",IF(I124&gt;0,"Overdue",IF(D124-'09_SETTINGS'!$I$5&lt;='09_SETTINGS'!$I$8,"Due Soon","Outstanding"))))</f>
        <v/>
      </c>
      <c r="I124" t="str">
        <f>IF(D124="","",MAX(0,'09_SETTINGS'!$I$8-D124))</f>
        <v/>
      </c>
      <c r="J124" s="43" t="str">
        <f t="shared" si="4"/>
        <v/>
      </c>
      <c r="K124" s="6"/>
    </row>
    <row r="125" spans="1:11">
      <c r="A125" s="2"/>
      <c r="B125" s="2"/>
      <c r="C125" s="5"/>
      <c r="D125" s="5"/>
      <c r="E125" s="3"/>
      <c r="F125" s="3"/>
      <c r="G125" s="23">
        <f t="shared" si="5"/>
        <v>0</v>
      </c>
      <c r="H125" t="str">
        <f>IF(D125="","",IF(G125=0,"Paid",IF(I125&gt;0,"Overdue",IF(D125-'09_SETTINGS'!$I$5&lt;='09_SETTINGS'!$I$8,"Due Soon","Outstanding"))))</f>
        <v/>
      </c>
      <c r="I125" t="str">
        <f>IF(D125="","",MAX(0,'09_SETTINGS'!$I$8-D125))</f>
        <v/>
      </c>
      <c r="J125" s="43" t="str">
        <f t="shared" si="4"/>
        <v/>
      </c>
      <c r="K125" s="6"/>
    </row>
    <row r="126" spans="1:11">
      <c r="A126" s="2"/>
      <c r="B126" s="2"/>
      <c r="C126" s="5"/>
      <c r="D126" s="5"/>
      <c r="E126" s="3"/>
      <c r="F126" s="3"/>
      <c r="G126" s="23">
        <f t="shared" si="5"/>
        <v>0</v>
      </c>
      <c r="H126" t="str">
        <f>IF(D126="","",IF(G126=0,"Paid",IF(I126&gt;0,"Overdue",IF(D126-'09_SETTINGS'!$I$5&lt;='09_SETTINGS'!$I$8,"Due Soon","Outstanding"))))</f>
        <v/>
      </c>
      <c r="I126" t="str">
        <f>IF(D126="","",MAX(0,'09_SETTINGS'!$I$8-D126))</f>
        <v/>
      </c>
      <c r="J126" s="43" t="str">
        <f t="shared" si="4"/>
        <v/>
      </c>
      <c r="K126" s="6"/>
    </row>
    <row r="127" spans="1:11">
      <c r="A127" s="2"/>
      <c r="B127" s="2"/>
      <c r="C127" s="5"/>
      <c r="D127" s="5"/>
      <c r="E127" s="3"/>
      <c r="F127" s="3"/>
      <c r="G127" s="23">
        <f t="shared" si="5"/>
        <v>0</v>
      </c>
      <c r="H127" t="str">
        <f>IF(D127="","",IF(G127=0,"Paid",IF(I127&gt;0,"Overdue",IF(D127-'09_SETTINGS'!$I$5&lt;='09_SETTINGS'!$I$8,"Due Soon","Outstanding"))))</f>
        <v/>
      </c>
      <c r="I127" t="str">
        <f>IF(D127="","",MAX(0,'09_SETTINGS'!$I$8-D127))</f>
        <v/>
      </c>
      <c r="J127" s="43" t="str">
        <f t="shared" si="4"/>
        <v/>
      </c>
      <c r="K127" s="6"/>
    </row>
    <row r="128" spans="1:11">
      <c r="A128" s="2"/>
      <c r="B128" s="2"/>
      <c r="C128" s="5"/>
      <c r="D128" s="5"/>
      <c r="E128" s="3"/>
      <c r="F128" s="3"/>
      <c r="G128" s="23">
        <f t="shared" si="5"/>
        <v>0</v>
      </c>
      <c r="H128" t="str">
        <f>IF(D128="","",IF(G128=0,"Paid",IF(I128&gt;0,"Overdue",IF(D128-'09_SETTINGS'!$I$5&lt;='09_SETTINGS'!$I$8,"Due Soon","Outstanding"))))</f>
        <v/>
      </c>
      <c r="I128" t="str">
        <f>IF(D128="","",MAX(0,'09_SETTINGS'!$I$8-D128))</f>
        <v/>
      </c>
      <c r="J128" s="43" t="str">
        <f t="shared" si="4"/>
        <v/>
      </c>
      <c r="K128" s="6"/>
    </row>
    <row r="129" spans="1:11">
      <c r="A129" s="2"/>
      <c r="B129" s="2"/>
      <c r="C129" s="5"/>
      <c r="D129" s="5"/>
      <c r="E129" s="3"/>
      <c r="F129" s="3"/>
      <c r="G129" s="23">
        <f t="shared" si="5"/>
        <v>0</v>
      </c>
      <c r="H129" t="str">
        <f>IF(D129="","",IF(G129=0,"Paid",IF(I129&gt;0,"Overdue",IF(D129-'09_SETTINGS'!$I$5&lt;='09_SETTINGS'!$I$8,"Due Soon","Outstanding"))))</f>
        <v/>
      </c>
      <c r="I129" t="str">
        <f>IF(D129="","",MAX(0,'09_SETTINGS'!$I$8-D129))</f>
        <v/>
      </c>
      <c r="J129" s="43" t="str">
        <f t="shared" si="4"/>
        <v/>
      </c>
      <c r="K129" s="6"/>
    </row>
    <row r="130" spans="1:11">
      <c r="A130" s="2"/>
      <c r="B130" s="2"/>
      <c r="C130" s="5"/>
      <c r="D130" s="5"/>
      <c r="E130" s="3"/>
      <c r="F130" s="3"/>
      <c r="G130" s="23">
        <f t="shared" si="5"/>
        <v>0</v>
      </c>
      <c r="H130" t="str">
        <f>IF(D130="","",IF(G130=0,"Paid",IF(I130&gt;0,"Overdue",IF(D130-'09_SETTINGS'!$I$5&lt;='09_SETTINGS'!$I$8,"Due Soon","Outstanding"))))</f>
        <v/>
      </c>
      <c r="I130" t="str">
        <f>IF(D130="","",MAX(0,'09_SETTINGS'!$I$8-D130))</f>
        <v/>
      </c>
      <c r="J130" s="43" t="str">
        <f t="shared" si="4"/>
        <v/>
      </c>
      <c r="K130" s="6"/>
    </row>
    <row r="131" spans="1:11">
      <c r="A131" s="2"/>
      <c r="B131" s="2"/>
      <c r="C131" s="5"/>
      <c r="D131" s="5"/>
      <c r="E131" s="3"/>
      <c r="F131" s="3"/>
      <c r="G131" s="23">
        <f t="shared" si="5"/>
        <v>0</v>
      </c>
      <c r="H131" t="str">
        <f>IF(D131="","",IF(G131=0,"Paid",IF(I131&gt;0,"Overdue",IF(D131-'09_SETTINGS'!$I$5&lt;='09_SETTINGS'!$I$8,"Due Soon","Outstanding"))))</f>
        <v/>
      </c>
      <c r="I131" t="str">
        <f>IF(D131="","",MAX(0,'09_SETTINGS'!$I$8-D131))</f>
        <v/>
      </c>
      <c r="J131" s="43" t="str">
        <f t="shared" si="4"/>
        <v/>
      </c>
      <c r="K131" s="6"/>
    </row>
    <row r="132" spans="1:11">
      <c r="A132" s="2"/>
      <c r="B132" s="2"/>
      <c r="C132" s="5"/>
      <c r="D132" s="5"/>
      <c r="E132" s="3"/>
      <c r="F132" s="3"/>
      <c r="G132" s="23">
        <f t="shared" ref="G132:G163" si="6">E132-F132</f>
        <v>0</v>
      </c>
      <c r="H132" t="str">
        <f>IF(D132="","",IF(G132=0,"Paid",IF(I132&gt;0,"Overdue",IF(D132-'09_SETTINGS'!$I$5&lt;='09_SETTINGS'!$I$8,"Due Soon","Outstanding"))))</f>
        <v/>
      </c>
      <c r="I132" t="str">
        <f>IF(D132="","",MAX(0,'09_SETTINGS'!$I$8-D132))</f>
        <v/>
      </c>
      <c r="J132" s="43" t="str">
        <f t="shared" si="4"/>
        <v/>
      </c>
      <c r="K132" s="6"/>
    </row>
    <row r="133" spans="1:11">
      <c r="A133" s="2"/>
      <c r="B133" s="2"/>
      <c r="C133" s="5"/>
      <c r="D133" s="5"/>
      <c r="E133" s="3"/>
      <c r="F133" s="3"/>
      <c r="G133" s="23">
        <f t="shared" si="6"/>
        <v>0</v>
      </c>
      <c r="H133" t="str">
        <f>IF(D133="","",IF(G133=0,"Paid",IF(I133&gt;0,"Overdue",IF(D133-'09_SETTINGS'!$I$5&lt;='09_SETTINGS'!$I$8,"Due Soon","Outstanding"))))</f>
        <v/>
      </c>
      <c r="I133" t="str">
        <f>IF(D133="","",MAX(0,'09_SETTINGS'!$I$8-D133))</f>
        <v/>
      </c>
      <c r="J133" s="43" t="str">
        <f t="shared" ref="J133:J196" si="7">IF(D133="","",D133)</f>
        <v/>
      </c>
      <c r="K133" s="6"/>
    </row>
    <row r="134" spans="1:11">
      <c r="A134" s="2"/>
      <c r="B134" s="2"/>
      <c r="C134" s="5"/>
      <c r="D134" s="5"/>
      <c r="E134" s="3"/>
      <c r="F134" s="3"/>
      <c r="G134" s="23">
        <f t="shared" si="6"/>
        <v>0</v>
      </c>
      <c r="H134" t="str">
        <f>IF(D134="","",IF(G134=0,"Paid",IF(I134&gt;0,"Overdue",IF(D134-'09_SETTINGS'!$I$5&lt;='09_SETTINGS'!$I$8,"Due Soon","Outstanding"))))</f>
        <v/>
      </c>
      <c r="I134" t="str">
        <f>IF(D134="","",MAX(0,'09_SETTINGS'!$I$8-D134))</f>
        <v/>
      </c>
      <c r="J134" s="43" t="str">
        <f t="shared" si="7"/>
        <v/>
      </c>
      <c r="K134" s="6"/>
    </row>
    <row r="135" spans="1:11">
      <c r="A135" s="2"/>
      <c r="B135" s="2"/>
      <c r="C135" s="5"/>
      <c r="D135" s="5"/>
      <c r="E135" s="3"/>
      <c r="F135" s="3"/>
      <c r="G135" s="23">
        <f t="shared" si="6"/>
        <v>0</v>
      </c>
      <c r="H135" t="str">
        <f>IF(D135="","",IF(G135=0,"Paid",IF(I135&gt;0,"Overdue",IF(D135-'09_SETTINGS'!$I$5&lt;='09_SETTINGS'!$I$8,"Due Soon","Outstanding"))))</f>
        <v/>
      </c>
      <c r="I135" t="str">
        <f>IF(D135="","",MAX(0,'09_SETTINGS'!$I$8-D135))</f>
        <v/>
      </c>
      <c r="J135" s="43" t="str">
        <f t="shared" si="7"/>
        <v/>
      </c>
      <c r="K135" s="6"/>
    </row>
    <row r="136" spans="1:11">
      <c r="A136" s="2"/>
      <c r="B136" s="2"/>
      <c r="C136" s="5"/>
      <c r="D136" s="5"/>
      <c r="E136" s="3"/>
      <c r="F136" s="3"/>
      <c r="G136" s="23">
        <f t="shared" si="6"/>
        <v>0</v>
      </c>
      <c r="H136" t="str">
        <f>IF(D136="","",IF(G136=0,"Paid",IF(I136&gt;0,"Overdue",IF(D136-'09_SETTINGS'!$I$5&lt;='09_SETTINGS'!$I$8,"Due Soon","Outstanding"))))</f>
        <v/>
      </c>
      <c r="I136" t="str">
        <f>IF(D136="","",MAX(0,'09_SETTINGS'!$I$8-D136))</f>
        <v/>
      </c>
      <c r="J136" s="43" t="str">
        <f t="shared" si="7"/>
        <v/>
      </c>
      <c r="K136" s="6"/>
    </row>
    <row r="137" spans="1:11">
      <c r="A137" s="2"/>
      <c r="B137" s="2"/>
      <c r="C137" s="5"/>
      <c r="D137" s="5"/>
      <c r="E137" s="3"/>
      <c r="F137" s="3"/>
      <c r="G137" s="23">
        <f t="shared" si="6"/>
        <v>0</v>
      </c>
      <c r="H137" t="str">
        <f>IF(D137="","",IF(G137=0,"Paid",IF(I137&gt;0,"Overdue",IF(D137-'09_SETTINGS'!$I$5&lt;='09_SETTINGS'!$I$8,"Due Soon","Outstanding"))))</f>
        <v/>
      </c>
      <c r="I137" t="str">
        <f>IF(D137="","",MAX(0,'09_SETTINGS'!$I$8-D137))</f>
        <v/>
      </c>
      <c r="J137" s="43" t="str">
        <f t="shared" si="7"/>
        <v/>
      </c>
      <c r="K137" s="6"/>
    </row>
    <row r="138" spans="1:11">
      <c r="A138" s="2"/>
      <c r="B138" s="2"/>
      <c r="C138" s="5"/>
      <c r="D138" s="5"/>
      <c r="E138" s="3"/>
      <c r="F138" s="3"/>
      <c r="G138" s="23">
        <f t="shared" si="6"/>
        <v>0</v>
      </c>
      <c r="H138" t="str">
        <f>IF(D138="","",IF(G138=0,"Paid",IF(I138&gt;0,"Overdue",IF(D138-'09_SETTINGS'!$I$5&lt;='09_SETTINGS'!$I$8,"Due Soon","Outstanding"))))</f>
        <v/>
      </c>
      <c r="I138" t="str">
        <f>IF(D138="","",MAX(0,'09_SETTINGS'!$I$8-D138))</f>
        <v/>
      </c>
      <c r="J138" s="43" t="str">
        <f t="shared" si="7"/>
        <v/>
      </c>
      <c r="K138" s="6"/>
    </row>
    <row r="139" spans="1:11">
      <c r="A139" s="2"/>
      <c r="B139" s="2"/>
      <c r="C139" s="5"/>
      <c r="D139" s="5"/>
      <c r="E139" s="3"/>
      <c r="F139" s="3"/>
      <c r="G139" s="23">
        <f t="shared" si="6"/>
        <v>0</v>
      </c>
      <c r="H139" t="str">
        <f>IF(D139="","",IF(G139=0,"Paid",IF(I139&gt;0,"Overdue",IF(D139-'09_SETTINGS'!$I$5&lt;='09_SETTINGS'!$I$8,"Due Soon","Outstanding"))))</f>
        <v/>
      </c>
      <c r="I139" t="str">
        <f>IF(D139="","",MAX(0,'09_SETTINGS'!$I$8-D139))</f>
        <v/>
      </c>
      <c r="J139" s="43" t="str">
        <f t="shared" si="7"/>
        <v/>
      </c>
      <c r="K139" s="6"/>
    </row>
    <row r="140" spans="1:11">
      <c r="A140" s="2"/>
      <c r="B140" s="2"/>
      <c r="C140" s="5"/>
      <c r="D140" s="5"/>
      <c r="E140" s="3"/>
      <c r="F140" s="3"/>
      <c r="G140" s="23">
        <f t="shared" si="6"/>
        <v>0</v>
      </c>
      <c r="H140" t="str">
        <f>IF(D140="","",IF(G140=0,"Paid",IF(I140&gt;0,"Overdue",IF(D140-'09_SETTINGS'!$I$5&lt;='09_SETTINGS'!$I$8,"Due Soon","Outstanding"))))</f>
        <v/>
      </c>
      <c r="I140" t="str">
        <f>IF(D140="","",MAX(0,'09_SETTINGS'!$I$8-D140))</f>
        <v/>
      </c>
      <c r="J140" s="43" t="str">
        <f t="shared" si="7"/>
        <v/>
      </c>
      <c r="K140" s="6"/>
    </row>
    <row r="141" spans="1:11">
      <c r="A141" s="2"/>
      <c r="B141" s="2"/>
      <c r="C141" s="5"/>
      <c r="D141" s="5"/>
      <c r="E141" s="3"/>
      <c r="F141" s="3"/>
      <c r="G141" s="23">
        <f t="shared" si="6"/>
        <v>0</v>
      </c>
      <c r="H141" t="str">
        <f>IF(D141="","",IF(G141=0,"Paid",IF(I141&gt;0,"Overdue",IF(D141-'09_SETTINGS'!$I$5&lt;='09_SETTINGS'!$I$8,"Due Soon","Outstanding"))))</f>
        <v/>
      </c>
      <c r="I141" t="str">
        <f>IF(D141="","",MAX(0,'09_SETTINGS'!$I$8-D141))</f>
        <v/>
      </c>
      <c r="J141" s="43" t="str">
        <f t="shared" si="7"/>
        <v/>
      </c>
      <c r="K141" s="6"/>
    </row>
    <row r="142" spans="1:11">
      <c r="A142" s="2"/>
      <c r="B142" s="2"/>
      <c r="C142" s="5"/>
      <c r="D142" s="5"/>
      <c r="E142" s="3"/>
      <c r="F142" s="3"/>
      <c r="G142" s="23">
        <f t="shared" si="6"/>
        <v>0</v>
      </c>
      <c r="H142" t="str">
        <f>IF(D142="","",IF(G142=0,"Paid",IF(I142&gt;0,"Overdue",IF(D142-'09_SETTINGS'!$I$5&lt;='09_SETTINGS'!$I$8,"Due Soon","Outstanding"))))</f>
        <v/>
      </c>
      <c r="I142" t="str">
        <f>IF(D142="","",MAX(0,'09_SETTINGS'!$I$8-D142))</f>
        <v/>
      </c>
      <c r="J142" s="43" t="str">
        <f t="shared" si="7"/>
        <v/>
      </c>
      <c r="K142" s="6"/>
    </row>
    <row r="143" spans="1:11">
      <c r="A143" s="2"/>
      <c r="B143" s="2"/>
      <c r="C143" s="5"/>
      <c r="D143" s="5"/>
      <c r="E143" s="3"/>
      <c r="F143" s="3"/>
      <c r="G143" s="23">
        <f t="shared" si="6"/>
        <v>0</v>
      </c>
      <c r="H143" t="str">
        <f>IF(D143="","",IF(G143=0,"Paid",IF(I143&gt;0,"Overdue",IF(D143-'09_SETTINGS'!$I$5&lt;='09_SETTINGS'!$I$8,"Due Soon","Outstanding"))))</f>
        <v/>
      </c>
      <c r="I143" t="str">
        <f>IF(D143="","",MAX(0,'09_SETTINGS'!$I$8-D143))</f>
        <v/>
      </c>
      <c r="J143" s="43" t="str">
        <f t="shared" si="7"/>
        <v/>
      </c>
      <c r="K143" s="6"/>
    </row>
    <row r="144" spans="1:11">
      <c r="A144" s="2"/>
      <c r="B144" s="2"/>
      <c r="C144" s="5"/>
      <c r="D144" s="5"/>
      <c r="E144" s="3"/>
      <c r="F144" s="3"/>
      <c r="G144" s="23">
        <f t="shared" si="6"/>
        <v>0</v>
      </c>
      <c r="H144" t="str">
        <f>IF(D144="","",IF(G144=0,"Paid",IF(I144&gt;0,"Overdue",IF(D144-'09_SETTINGS'!$I$5&lt;='09_SETTINGS'!$I$8,"Due Soon","Outstanding"))))</f>
        <v/>
      </c>
      <c r="I144" t="str">
        <f>IF(D144="","",MAX(0,'09_SETTINGS'!$I$8-D144))</f>
        <v/>
      </c>
      <c r="J144" s="43" t="str">
        <f t="shared" si="7"/>
        <v/>
      </c>
      <c r="K144" s="6"/>
    </row>
    <row r="145" spans="1:11">
      <c r="A145" s="2"/>
      <c r="B145" s="2"/>
      <c r="C145" s="5"/>
      <c r="D145" s="5"/>
      <c r="E145" s="3"/>
      <c r="F145" s="3"/>
      <c r="G145" s="23">
        <f t="shared" si="6"/>
        <v>0</v>
      </c>
      <c r="H145" t="str">
        <f>IF(D145="","",IF(G145=0,"Paid",IF(I145&gt;0,"Overdue",IF(D145-'09_SETTINGS'!$I$5&lt;='09_SETTINGS'!$I$8,"Due Soon","Outstanding"))))</f>
        <v/>
      </c>
      <c r="I145" t="str">
        <f>IF(D145="","",MAX(0,'09_SETTINGS'!$I$8-D145))</f>
        <v/>
      </c>
      <c r="J145" s="43" t="str">
        <f t="shared" si="7"/>
        <v/>
      </c>
      <c r="K145" s="6"/>
    </row>
    <row r="146" spans="1:11">
      <c r="A146" s="2"/>
      <c r="B146" s="2"/>
      <c r="C146" s="5"/>
      <c r="D146" s="5"/>
      <c r="E146" s="3"/>
      <c r="F146" s="3"/>
      <c r="G146" s="23">
        <f t="shared" si="6"/>
        <v>0</v>
      </c>
      <c r="H146" t="str">
        <f>IF(D146="","",IF(G146=0,"Paid",IF(I146&gt;0,"Overdue",IF(D146-'09_SETTINGS'!$I$5&lt;='09_SETTINGS'!$I$8,"Due Soon","Outstanding"))))</f>
        <v/>
      </c>
      <c r="I146" t="str">
        <f>IF(D146="","",MAX(0,'09_SETTINGS'!$I$8-D146))</f>
        <v/>
      </c>
      <c r="J146" s="43" t="str">
        <f t="shared" si="7"/>
        <v/>
      </c>
      <c r="K146" s="6"/>
    </row>
    <row r="147" spans="1:11">
      <c r="A147" s="2"/>
      <c r="B147" s="2"/>
      <c r="C147" s="5"/>
      <c r="D147" s="5"/>
      <c r="E147" s="3"/>
      <c r="F147" s="3"/>
      <c r="G147" s="23">
        <f t="shared" si="6"/>
        <v>0</v>
      </c>
      <c r="H147" t="str">
        <f>IF(D147="","",IF(G147=0,"Paid",IF(I147&gt;0,"Overdue",IF(D147-'09_SETTINGS'!$I$5&lt;='09_SETTINGS'!$I$8,"Due Soon","Outstanding"))))</f>
        <v/>
      </c>
      <c r="I147" t="str">
        <f>IF(D147="","",MAX(0,'09_SETTINGS'!$I$8-D147))</f>
        <v/>
      </c>
      <c r="J147" s="43" t="str">
        <f t="shared" si="7"/>
        <v/>
      </c>
      <c r="K147" s="6"/>
    </row>
    <row r="148" spans="1:11">
      <c r="A148" s="2"/>
      <c r="B148" s="2"/>
      <c r="C148" s="5"/>
      <c r="D148" s="5"/>
      <c r="E148" s="3"/>
      <c r="F148" s="3"/>
      <c r="G148" s="23">
        <f t="shared" si="6"/>
        <v>0</v>
      </c>
      <c r="H148" t="str">
        <f>IF(D148="","",IF(G148=0,"Paid",IF(I148&gt;0,"Overdue",IF(D148-'09_SETTINGS'!$I$5&lt;='09_SETTINGS'!$I$8,"Due Soon","Outstanding"))))</f>
        <v/>
      </c>
      <c r="I148" t="str">
        <f>IF(D148="","",MAX(0,'09_SETTINGS'!$I$8-D148))</f>
        <v/>
      </c>
      <c r="J148" s="43" t="str">
        <f t="shared" si="7"/>
        <v/>
      </c>
      <c r="K148" s="6"/>
    </row>
    <row r="149" spans="1:11">
      <c r="A149" s="2"/>
      <c r="B149" s="2"/>
      <c r="C149" s="5"/>
      <c r="D149" s="5"/>
      <c r="E149" s="3"/>
      <c r="F149" s="3"/>
      <c r="G149" s="23">
        <f t="shared" si="6"/>
        <v>0</v>
      </c>
      <c r="H149" t="str">
        <f>IF(D149="","",IF(G149=0,"Paid",IF(I149&gt;0,"Overdue",IF(D149-'09_SETTINGS'!$I$5&lt;='09_SETTINGS'!$I$8,"Due Soon","Outstanding"))))</f>
        <v/>
      </c>
      <c r="I149" t="str">
        <f>IF(D149="","",MAX(0,'09_SETTINGS'!$I$8-D149))</f>
        <v/>
      </c>
      <c r="J149" s="43" t="str">
        <f t="shared" si="7"/>
        <v/>
      </c>
      <c r="K149" s="6"/>
    </row>
    <row r="150" spans="1:11">
      <c r="A150" s="2"/>
      <c r="B150" s="2"/>
      <c r="C150" s="5"/>
      <c r="D150" s="5"/>
      <c r="E150" s="3"/>
      <c r="F150" s="3"/>
      <c r="G150" s="23">
        <f t="shared" si="6"/>
        <v>0</v>
      </c>
      <c r="H150" t="str">
        <f>IF(D150="","",IF(G150=0,"Paid",IF(I150&gt;0,"Overdue",IF(D150-'09_SETTINGS'!$I$5&lt;='09_SETTINGS'!$I$8,"Due Soon","Outstanding"))))</f>
        <v/>
      </c>
      <c r="I150" t="str">
        <f>IF(D150="","",MAX(0,'09_SETTINGS'!$I$8-D150))</f>
        <v/>
      </c>
      <c r="J150" s="43" t="str">
        <f t="shared" si="7"/>
        <v/>
      </c>
      <c r="K150" s="6"/>
    </row>
    <row r="151" spans="1:11">
      <c r="A151" s="2"/>
      <c r="B151" s="2"/>
      <c r="C151" s="5"/>
      <c r="D151" s="5"/>
      <c r="E151" s="3"/>
      <c r="F151" s="3"/>
      <c r="G151" s="23">
        <f t="shared" si="6"/>
        <v>0</v>
      </c>
      <c r="H151" t="str">
        <f>IF(D151="","",IF(G151=0,"Paid",IF(I151&gt;0,"Overdue",IF(D151-'09_SETTINGS'!$I$5&lt;='09_SETTINGS'!$I$8,"Due Soon","Outstanding"))))</f>
        <v/>
      </c>
      <c r="I151" t="str">
        <f>IF(D151="","",MAX(0,'09_SETTINGS'!$I$8-D151))</f>
        <v/>
      </c>
      <c r="J151" s="43" t="str">
        <f t="shared" si="7"/>
        <v/>
      </c>
      <c r="K151" s="6"/>
    </row>
    <row r="152" spans="1:11">
      <c r="A152" s="2"/>
      <c r="B152" s="2"/>
      <c r="C152" s="5"/>
      <c r="D152" s="5"/>
      <c r="E152" s="3"/>
      <c r="F152" s="3"/>
      <c r="G152" s="23">
        <f t="shared" si="6"/>
        <v>0</v>
      </c>
      <c r="H152" t="str">
        <f>IF(D152="","",IF(G152=0,"Paid",IF(I152&gt;0,"Overdue",IF(D152-'09_SETTINGS'!$I$5&lt;='09_SETTINGS'!$I$8,"Due Soon","Outstanding"))))</f>
        <v/>
      </c>
      <c r="I152" t="str">
        <f>IF(D152="","",MAX(0,'09_SETTINGS'!$I$8-D152))</f>
        <v/>
      </c>
      <c r="J152" s="43" t="str">
        <f t="shared" si="7"/>
        <v/>
      </c>
      <c r="K152" s="6"/>
    </row>
    <row r="153" spans="1:11">
      <c r="A153" s="2"/>
      <c r="B153" s="2"/>
      <c r="C153" s="5"/>
      <c r="D153" s="5"/>
      <c r="E153" s="3"/>
      <c r="F153" s="3"/>
      <c r="G153" s="23">
        <f t="shared" si="6"/>
        <v>0</v>
      </c>
      <c r="H153" t="str">
        <f>IF(D153="","",IF(G153=0,"Paid",IF(I153&gt;0,"Overdue",IF(D153-'09_SETTINGS'!$I$5&lt;='09_SETTINGS'!$I$8,"Due Soon","Outstanding"))))</f>
        <v/>
      </c>
      <c r="I153" t="str">
        <f>IF(D153="","",MAX(0,'09_SETTINGS'!$I$8-D153))</f>
        <v/>
      </c>
      <c r="J153" s="43" t="str">
        <f t="shared" si="7"/>
        <v/>
      </c>
      <c r="K153" s="6"/>
    </row>
    <row r="154" spans="1:11">
      <c r="A154" s="2"/>
      <c r="B154" s="2"/>
      <c r="C154" s="5"/>
      <c r="D154" s="5"/>
      <c r="E154" s="3"/>
      <c r="F154" s="3"/>
      <c r="G154" s="23">
        <f t="shared" si="6"/>
        <v>0</v>
      </c>
      <c r="H154" t="str">
        <f>IF(D154="","",IF(G154=0,"Paid",IF(I154&gt;0,"Overdue",IF(D154-'09_SETTINGS'!$I$5&lt;='09_SETTINGS'!$I$8,"Due Soon","Outstanding"))))</f>
        <v/>
      </c>
      <c r="I154" t="str">
        <f>IF(D154="","",MAX(0,'09_SETTINGS'!$I$8-D154))</f>
        <v/>
      </c>
      <c r="J154" s="43" t="str">
        <f t="shared" si="7"/>
        <v/>
      </c>
      <c r="K154" s="6"/>
    </row>
    <row r="155" spans="1:11">
      <c r="A155" s="2"/>
      <c r="B155" s="2"/>
      <c r="C155" s="5"/>
      <c r="D155" s="5"/>
      <c r="E155" s="3"/>
      <c r="F155" s="3"/>
      <c r="G155" s="23">
        <f t="shared" si="6"/>
        <v>0</v>
      </c>
      <c r="H155" t="str">
        <f>IF(D155="","",IF(G155=0,"Paid",IF(I155&gt;0,"Overdue",IF(D155-'09_SETTINGS'!$I$5&lt;='09_SETTINGS'!$I$8,"Due Soon","Outstanding"))))</f>
        <v/>
      </c>
      <c r="I155" t="str">
        <f>IF(D155="","",MAX(0,'09_SETTINGS'!$I$8-D155))</f>
        <v/>
      </c>
      <c r="J155" s="43" t="str">
        <f t="shared" si="7"/>
        <v/>
      </c>
      <c r="K155" s="6"/>
    </row>
    <row r="156" spans="1:11">
      <c r="A156" s="2"/>
      <c r="B156" s="2"/>
      <c r="C156" s="5"/>
      <c r="D156" s="5"/>
      <c r="E156" s="3"/>
      <c r="F156" s="3"/>
      <c r="G156" s="23">
        <f t="shared" si="6"/>
        <v>0</v>
      </c>
      <c r="H156" t="str">
        <f>IF(D156="","",IF(G156=0,"Paid",IF(I156&gt;0,"Overdue",IF(D156-'09_SETTINGS'!$I$5&lt;='09_SETTINGS'!$I$8,"Due Soon","Outstanding"))))</f>
        <v/>
      </c>
      <c r="I156" t="str">
        <f>IF(D156="","",MAX(0,'09_SETTINGS'!$I$8-D156))</f>
        <v/>
      </c>
      <c r="J156" s="43" t="str">
        <f t="shared" si="7"/>
        <v/>
      </c>
      <c r="K156" s="6"/>
    </row>
    <row r="157" spans="1:11">
      <c r="A157" s="2"/>
      <c r="B157" s="2"/>
      <c r="C157" s="5"/>
      <c r="D157" s="5"/>
      <c r="E157" s="3"/>
      <c r="F157" s="3"/>
      <c r="G157" s="23">
        <f t="shared" si="6"/>
        <v>0</v>
      </c>
      <c r="H157" t="str">
        <f>IF(D157="","",IF(G157=0,"Paid",IF(I157&gt;0,"Overdue",IF(D157-'09_SETTINGS'!$I$5&lt;='09_SETTINGS'!$I$8,"Due Soon","Outstanding"))))</f>
        <v/>
      </c>
      <c r="I157" t="str">
        <f>IF(D157="","",MAX(0,'09_SETTINGS'!$I$8-D157))</f>
        <v/>
      </c>
      <c r="J157" s="43" t="str">
        <f t="shared" si="7"/>
        <v/>
      </c>
      <c r="K157" s="6"/>
    </row>
    <row r="158" spans="1:11">
      <c r="A158" s="2"/>
      <c r="B158" s="2"/>
      <c r="C158" s="5"/>
      <c r="D158" s="5"/>
      <c r="E158" s="3"/>
      <c r="F158" s="3"/>
      <c r="G158" s="23">
        <f t="shared" si="6"/>
        <v>0</v>
      </c>
      <c r="H158" t="str">
        <f>IF(D158="","",IF(G158=0,"Paid",IF(I158&gt;0,"Overdue",IF(D158-'09_SETTINGS'!$I$5&lt;='09_SETTINGS'!$I$8,"Due Soon","Outstanding"))))</f>
        <v/>
      </c>
      <c r="I158" t="str">
        <f>IF(D158="","",MAX(0,'09_SETTINGS'!$I$8-D158))</f>
        <v/>
      </c>
      <c r="J158" s="43" t="str">
        <f t="shared" si="7"/>
        <v/>
      </c>
      <c r="K158" s="6"/>
    </row>
    <row r="159" spans="1:11">
      <c r="A159" s="2"/>
      <c r="B159" s="2"/>
      <c r="C159" s="5"/>
      <c r="D159" s="5"/>
      <c r="E159" s="3"/>
      <c r="F159" s="3"/>
      <c r="G159" s="23">
        <f t="shared" si="6"/>
        <v>0</v>
      </c>
      <c r="H159" t="str">
        <f>IF(D159="","",IF(G159=0,"Paid",IF(I159&gt;0,"Overdue",IF(D159-'09_SETTINGS'!$I$5&lt;='09_SETTINGS'!$I$8,"Due Soon","Outstanding"))))</f>
        <v/>
      </c>
      <c r="I159" t="str">
        <f>IF(D159="","",MAX(0,'09_SETTINGS'!$I$8-D159))</f>
        <v/>
      </c>
      <c r="J159" s="43" t="str">
        <f t="shared" si="7"/>
        <v/>
      </c>
      <c r="K159" s="6"/>
    </row>
    <row r="160" spans="1:11">
      <c r="A160" s="2"/>
      <c r="B160" s="2"/>
      <c r="C160" s="5"/>
      <c r="D160" s="5"/>
      <c r="E160" s="3"/>
      <c r="F160" s="3"/>
      <c r="G160" s="23">
        <f t="shared" si="6"/>
        <v>0</v>
      </c>
      <c r="H160" t="str">
        <f>IF(D160="","",IF(G160=0,"Paid",IF(I160&gt;0,"Overdue",IF(D160-'09_SETTINGS'!$I$5&lt;='09_SETTINGS'!$I$8,"Due Soon","Outstanding"))))</f>
        <v/>
      </c>
      <c r="I160" t="str">
        <f>IF(D160="","",MAX(0,'09_SETTINGS'!$I$8-D160))</f>
        <v/>
      </c>
      <c r="J160" s="43" t="str">
        <f t="shared" si="7"/>
        <v/>
      </c>
      <c r="K160" s="6"/>
    </row>
    <row r="161" spans="1:11">
      <c r="A161" s="2"/>
      <c r="B161" s="2"/>
      <c r="C161" s="5"/>
      <c r="D161" s="5"/>
      <c r="E161" s="3"/>
      <c r="F161" s="3"/>
      <c r="G161" s="23">
        <f t="shared" si="6"/>
        <v>0</v>
      </c>
      <c r="H161" t="str">
        <f>IF(D161="","",IF(G161=0,"Paid",IF(I161&gt;0,"Overdue",IF(D161-'09_SETTINGS'!$I$5&lt;='09_SETTINGS'!$I$8,"Due Soon","Outstanding"))))</f>
        <v/>
      </c>
      <c r="I161" t="str">
        <f>IF(D161="","",MAX(0,'09_SETTINGS'!$I$8-D161))</f>
        <v/>
      </c>
      <c r="J161" s="43" t="str">
        <f t="shared" si="7"/>
        <v/>
      </c>
      <c r="K161" s="6"/>
    </row>
    <row r="162" spans="1:11">
      <c r="A162" s="2"/>
      <c r="B162" s="2"/>
      <c r="C162" s="5"/>
      <c r="D162" s="5"/>
      <c r="E162" s="3"/>
      <c r="F162" s="3"/>
      <c r="G162" s="23">
        <f t="shared" si="6"/>
        <v>0</v>
      </c>
      <c r="H162" t="str">
        <f>IF(D162="","",IF(G162=0,"Paid",IF(I162&gt;0,"Overdue",IF(D162-'09_SETTINGS'!$I$5&lt;='09_SETTINGS'!$I$8,"Due Soon","Outstanding"))))</f>
        <v/>
      </c>
      <c r="I162" t="str">
        <f>IF(D162="","",MAX(0,'09_SETTINGS'!$I$8-D162))</f>
        <v/>
      </c>
      <c r="J162" s="43" t="str">
        <f t="shared" si="7"/>
        <v/>
      </c>
      <c r="K162" s="6"/>
    </row>
    <row r="163" spans="1:11">
      <c r="A163" s="2"/>
      <c r="B163" s="2"/>
      <c r="C163" s="5"/>
      <c r="D163" s="5"/>
      <c r="E163" s="3"/>
      <c r="F163" s="3"/>
      <c r="G163" s="23">
        <f t="shared" si="6"/>
        <v>0</v>
      </c>
      <c r="H163" t="str">
        <f>IF(D163="","",IF(G163=0,"Paid",IF(I163&gt;0,"Overdue",IF(D163-'09_SETTINGS'!$I$5&lt;='09_SETTINGS'!$I$8,"Due Soon","Outstanding"))))</f>
        <v/>
      </c>
      <c r="I163" t="str">
        <f>IF(D163="","",MAX(0,'09_SETTINGS'!$I$8-D163))</f>
        <v/>
      </c>
      <c r="J163" s="43" t="str">
        <f t="shared" si="7"/>
        <v/>
      </c>
      <c r="K163" s="6"/>
    </row>
    <row r="164" spans="1:11">
      <c r="A164" s="2"/>
      <c r="B164" s="2"/>
      <c r="C164" s="5"/>
      <c r="D164" s="5"/>
      <c r="E164" s="3"/>
      <c r="F164" s="3"/>
      <c r="G164" s="23">
        <f t="shared" ref="G164:G195" si="8">E164-F164</f>
        <v>0</v>
      </c>
      <c r="H164" t="str">
        <f>IF(D164="","",IF(G164=0,"Paid",IF(I164&gt;0,"Overdue",IF(D164-'09_SETTINGS'!$I$5&lt;='09_SETTINGS'!$I$8,"Due Soon","Outstanding"))))</f>
        <v/>
      </c>
      <c r="I164" t="str">
        <f>IF(D164="","",MAX(0,'09_SETTINGS'!$I$8-D164))</f>
        <v/>
      </c>
      <c r="J164" s="43" t="str">
        <f t="shared" si="7"/>
        <v/>
      </c>
      <c r="K164" s="6"/>
    </row>
    <row r="165" spans="1:11">
      <c r="A165" s="2"/>
      <c r="B165" s="2"/>
      <c r="C165" s="5"/>
      <c r="D165" s="5"/>
      <c r="E165" s="3"/>
      <c r="F165" s="3"/>
      <c r="G165" s="23">
        <f t="shared" si="8"/>
        <v>0</v>
      </c>
      <c r="H165" t="str">
        <f>IF(D165="","",IF(G165=0,"Paid",IF(I165&gt;0,"Overdue",IF(D165-'09_SETTINGS'!$I$5&lt;='09_SETTINGS'!$I$8,"Due Soon","Outstanding"))))</f>
        <v/>
      </c>
      <c r="I165" t="str">
        <f>IF(D165="","",MAX(0,'09_SETTINGS'!$I$8-D165))</f>
        <v/>
      </c>
      <c r="J165" s="43" t="str">
        <f t="shared" si="7"/>
        <v/>
      </c>
      <c r="K165" s="6"/>
    </row>
    <row r="166" spans="1:11">
      <c r="A166" s="2"/>
      <c r="B166" s="2"/>
      <c r="C166" s="5"/>
      <c r="D166" s="5"/>
      <c r="E166" s="3"/>
      <c r="F166" s="3"/>
      <c r="G166" s="23">
        <f t="shared" si="8"/>
        <v>0</v>
      </c>
      <c r="H166" t="str">
        <f>IF(D166="","",IF(G166=0,"Paid",IF(I166&gt;0,"Overdue",IF(D166-'09_SETTINGS'!$I$5&lt;='09_SETTINGS'!$I$8,"Due Soon","Outstanding"))))</f>
        <v/>
      </c>
      <c r="I166" t="str">
        <f>IF(D166="","",MAX(0,'09_SETTINGS'!$I$8-D166))</f>
        <v/>
      </c>
      <c r="J166" s="43" t="str">
        <f t="shared" si="7"/>
        <v/>
      </c>
      <c r="K166" s="6"/>
    </row>
    <row r="167" spans="1:11">
      <c r="A167" s="2"/>
      <c r="B167" s="2"/>
      <c r="C167" s="5"/>
      <c r="D167" s="5"/>
      <c r="E167" s="3"/>
      <c r="F167" s="3"/>
      <c r="G167" s="23">
        <f t="shared" si="8"/>
        <v>0</v>
      </c>
      <c r="H167" t="str">
        <f>IF(D167="","",IF(G167=0,"Paid",IF(I167&gt;0,"Overdue",IF(D167-'09_SETTINGS'!$I$5&lt;='09_SETTINGS'!$I$8,"Due Soon","Outstanding"))))</f>
        <v/>
      </c>
      <c r="I167" t="str">
        <f>IF(D167="","",MAX(0,'09_SETTINGS'!$I$8-D167))</f>
        <v/>
      </c>
      <c r="J167" s="43" t="str">
        <f t="shared" si="7"/>
        <v/>
      </c>
      <c r="K167" s="6"/>
    </row>
    <row r="168" spans="1:11">
      <c r="A168" s="2"/>
      <c r="B168" s="2"/>
      <c r="C168" s="5"/>
      <c r="D168" s="5"/>
      <c r="E168" s="3"/>
      <c r="F168" s="3"/>
      <c r="G168" s="23">
        <f t="shared" si="8"/>
        <v>0</v>
      </c>
      <c r="H168" t="str">
        <f>IF(D168="","",IF(G168=0,"Paid",IF(I168&gt;0,"Overdue",IF(D168-'09_SETTINGS'!$I$5&lt;='09_SETTINGS'!$I$8,"Due Soon","Outstanding"))))</f>
        <v/>
      </c>
      <c r="I168" t="str">
        <f>IF(D168="","",MAX(0,'09_SETTINGS'!$I$8-D168))</f>
        <v/>
      </c>
      <c r="J168" s="43" t="str">
        <f t="shared" si="7"/>
        <v/>
      </c>
      <c r="K168" s="6"/>
    </row>
    <row r="169" spans="1:11">
      <c r="A169" s="2"/>
      <c r="B169" s="2"/>
      <c r="C169" s="5"/>
      <c r="D169" s="5"/>
      <c r="E169" s="3"/>
      <c r="F169" s="3"/>
      <c r="G169" s="23">
        <f t="shared" si="8"/>
        <v>0</v>
      </c>
      <c r="H169" t="str">
        <f>IF(D169="","",IF(G169=0,"Paid",IF(I169&gt;0,"Overdue",IF(D169-'09_SETTINGS'!$I$5&lt;='09_SETTINGS'!$I$8,"Due Soon","Outstanding"))))</f>
        <v/>
      </c>
      <c r="I169" t="str">
        <f>IF(D169="","",MAX(0,'09_SETTINGS'!$I$8-D169))</f>
        <v/>
      </c>
      <c r="J169" s="43" t="str">
        <f t="shared" si="7"/>
        <v/>
      </c>
      <c r="K169" s="6"/>
    </row>
    <row r="170" spans="1:11">
      <c r="A170" s="2"/>
      <c r="B170" s="2"/>
      <c r="C170" s="5"/>
      <c r="D170" s="5"/>
      <c r="E170" s="3"/>
      <c r="F170" s="3"/>
      <c r="G170" s="23">
        <f t="shared" si="8"/>
        <v>0</v>
      </c>
      <c r="H170" t="str">
        <f>IF(D170="","",IF(G170=0,"Paid",IF(I170&gt;0,"Overdue",IF(D170-'09_SETTINGS'!$I$5&lt;='09_SETTINGS'!$I$8,"Due Soon","Outstanding"))))</f>
        <v/>
      </c>
      <c r="I170" t="str">
        <f>IF(D170="","",MAX(0,'09_SETTINGS'!$I$8-D170))</f>
        <v/>
      </c>
      <c r="J170" s="43" t="str">
        <f t="shared" si="7"/>
        <v/>
      </c>
      <c r="K170" s="6"/>
    </row>
    <row r="171" spans="1:11">
      <c r="A171" s="2"/>
      <c r="B171" s="2"/>
      <c r="C171" s="5"/>
      <c r="D171" s="5"/>
      <c r="E171" s="3"/>
      <c r="F171" s="3"/>
      <c r="G171" s="23">
        <f t="shared" si="8"/>
        <v>0</v>
      </c>
      <c r="H171" t="str">
        <f>IF(D171="","",IF(G171=0,"Paid",IF(I171&gt;0,"Overdue",IF(D171-'09_SETTINGS'!$I$5&lt;='09_SETTINGS'!$I$8,"Due Soon","Outstanding"))))</f>
        <v/>
      </c>
      <c r="I171" t="str">
        <f>IF(D171="","",MAX(0,'09_SETTINGS'!$I$8-D171))</f>
        <v/>
      </c>
      <c r="J171" s="43" t="str">
        <f t="shared" si="7"/>
        <v/>
      </c>
      <c r="K171" s="6"/>
    </row>
    <row r="172" spans="1:11">
      <c r="A172" s="2"/>
      <c r="B172" s="2"/>
      <c r="C172" s="5"/>
      <c r="D172" s="5"/>
      <c r="E172" s="3"/>
      <c r="F172" s="3"/>
      <c r="G172" s="23">
        <f t="shared" si="8"/>
        <v>0</v>
      </c>
      <c r="H172" t="str">
        <f>IF(D172="","",IF(G172=0,"Paid",IF(I172&gt;0,"Overdue",IF(D172-'09_SETTINGS'!$I$5&lt;='09_SETTINGS'!$I$8,"Due Soon","Outstanding"))))</f>
        <v/>
      </c>
      <c r="I172" t="str">
        <f>IF(D172="","",MAX(0,'09_SETTINGS'!$I$8-D172))</f>
        <v/>
      </c>
      <c r="J172" s="43" t="str">
        <f t="shared" si="7"/>
        <v/>
      </c>
      <c r="K172" s="6"/>
    </row>
    <row r="173" spans="1:11">
      <c r="A173" s="2"/>
      <c r="B173" s="2"/>
      <c r="C173" s="5"/>
      <c r="D173" s="5"/>
      <c r="E173" s="3"/>
      <c r="F173" s="3"/>
      <c r="G173" s="23">
        <f t="shared" si="8"/>
        <v>0</v>
      </c>
      <c r="H173" t="str">
        <f>IF(D173="","",IF(G173=0,"Paid",IF(I173&gt;0,"Overdue",IF(D173-'09_SETTINGS'!$I$5&lt;='09_SETTINGS'!$I$8,"Due Soon","Outstanding"))))</f>
        <v/>
      </c>
      <c r="I173" t="str">
        <f>IF(D173="","",MAX(0,'09_SETTINGS'!$I$8-D173))</f>
        <v/>
      </c>
      <c r="J173" s="43" t="str">
        <f t="shared" si="7"/>
        <v/>
      </c>
      <c r="K173" s="6"/>
    </row>
    <row r="174" spans="1:11">
      <c r="A174" s="2"/>
      <c r="B174" s="2"/>
      <c r="C174" s="5"/>
      <c r="D174" s="5"/>
      <c r="E174" s="3"/>
      <c r="F174" s="3"/>
      <c r="G174" s="23">
        <f t="shared" si="8"/>
        <v>0</v>
      </c>
      <c r="H174" t="str">
        <f>IF(D174="","",IF(G174=0,"Paid",IF(I174&gt;0,"Overdue",IF(D174-'09_SETTINGS'!$I$5&lt;='09_SETTINGS'!$I$8,"Due Soon","Outstanding"))))</f>
        <v/>
      </c>
      <c r="I174" t="str">
        <f>IF(D174="","",MAX(0,'09_SETTINGS'!$I$8-D174))</f>
        <v/>
      </c>
      <c r="J174" s="43" t="str">
        <f t="shared" si="7"/>
        <v/>
      </c>
      <c r="K174" s="6"/>
    </row>
    <row r="175" spans="1:11">
      <c r="A175" s="2"/>
      <c r="B175" s="2"/>
      <c r="C175" s="5"/>
      <c r="D175" s="5"/>
      <c r="E175" s="3"/>
      <c r="F175" s="3"/>
      <c r="G175" s="23">
        <f t="shared" si="8"/>
        <v>0</v>
      </c>
      <c r="H175" t="str">
        <f>IF(D175="","",IF(G175=0,"Paid",IF(I175&gt;0,"Overdue",IF(D175-'09_SETTINGS'!$I$5&lt;='09_SETTINGS'!$I$8,"Due Soon","Outstanding"))))</f>
        <v/>
      </c>
      <c r="I175" t="str">
        <f>IF(D175="","",MAX(0,'09_SETTINGS'!$I$8-D175))</f>
        <v/>
      </c>
      <c r="J175" s="43" t="str">
        <f t="shared" si="7"/>
        <v/>
      </c>
      <c r="K175" s="6"/>
    </row>
    <row r="176" spans="1:11">
      <c r="A176" s="2"/>
      <c r="B176" s="2"/>
      <c r="C176" s="5"/>
      <c r="D176" s="5"/>
      <c r="E176" s="3"/>
      <c r="F176" s="3"/>
      <c r="G176" s="23">
        <f t="shared" si="8"/>
        <v>0</v>
      </c>
      <c r="H176" t="str">
        <f>IF(D176="","",IF(G176=0,"Paid",IF(I176&gt;0,"Overdue",IF(D176-'09_SETTINGS'!$I$5&lt;='09_SETTINGS'!$I$8,"Due Soon","Outstanding"))))</f>
        <v/>
      </c>
      <c r="I176" t="str">
        <f>IF(D176="","",MAX(0,'09_SETTINGS'!$I$8-D176))</f>
        <v/>
      </c>
      <c r="J176" s="43" t="str">
        <f t="shared" si="7"/>
        <v/>
      </c>
      <c r="K176" s="6"/>
    </row>
    <row r="177" spans="1:11">
      <c r="A177" s="2"/>
      <c r="B177" s="2"/>
      <c r="C177" s="5"/>
      <c r="D177" s="5"/>
      <c r="E177" s="3"/>
      <c r="F177" s="3"/>
      <c r="G177" s="23">
        <f t="shared" si="8"/>
        <v>0</v>
      </c>
      <c r="H177" t="str">
        <f>IF(D177="","",IF(G177=0,"Paid",IF(I177&gt;0,"Overdue",IF(D177-'09_SETTINGS'!$I$5&lt;='09_SETTINGS'!$I$8,"Due Soon","Outstanding"))))</f>
        <v/>
      </c>
      <c r="I177" t="str">
        <f>IF(D177="","",MAX(0,'09_SETTINGS'!$I$8-D177))</f>
        <v/>
      </c>
      <c r="J177" s="43" t="str">
        <f t="shared" si="7"/>
        <v/>
      </c>
      <c r="K177" s="6"/>
    </row>
    <row r="178" spans="1:11">
      <c r="A178" s="2"/>
      <c r="B178" s="2"/>
      <c r="C178" s="5"/>
      <c r="D178" s="5"/>
      <c r="E178" s="3"/>
      <c r="F178" s="3"/>
      <c r="G178" s="23">
        <f t="shared" si="8"/>
        <v>0</v>
      </c>
      <c r="H178" t="str">
        <f>IF(D178="","",IF(G178=0,"Paid",IF(I178&gt;0,"Overdue",IF(D178-'09_SETTINGS'!$I$5&lt;='09_SETTINGS'!$I$8,"Due Soon","Outstanding"))))</f>
        <v/>
      </c>
      <c r="I178" t="str">
        <f>IF(D178="","",MAX(0,'09_SETTINGS'!$I$8-D178))</f>
        <v/>
      </c>
      <c r="J178" s="43" t="str">
        <f t="shared" si="7"/>
        <v/>
      </c>
      <c r="K178" s="6"/>
    </row>
    <row r="179" spans="1:11">
      <c r="A179" s="2"/>
      <c r="B179" s="2"/>
      <c r="C179" s="5"/>
      <c r="D179" s="5"/>
      <c r="E179" s="3"/>
      <c r="F179" s="3"/>
      <c r="G179" s="23">
        <f t="shared" si="8"/>
        <v>0</v>
      </c>
      <c r="H179" t="str">
        <f>IF(D179="","",IF(G179=0,"Paid",IF(I179&gt;0,"Overdue",IF(D179-'09_SETTINGS'!$I$5&lt;='09_SETTINGS'!$I$8,"Due Soon","Outstanding"))))</f>
        <v/>
      </c>
      <c r="I179" t="str">
        <f>IF(D179="","",MAX(0,'09_SETTINGS'!$I$8-D179))</f>
        <v/>
      </c>
      <c r="J179" s="43" t="str">
        <f t="shared" si="7"/>
        <v/>
      </c>
      <c r="K179" s="6"/>
    </row>
    <row r="180" spans="1:11">
      <c r="A180" s="2"/>
      <c r="B180" s="2"/>
      <c r="C180" s="5"/>
      <c r="D180" s="5"/>
      <c r="E180" s="3"/>
      <c r="F180" s="3"/>
      <c r="G180" s="23">
        <f t="shared" si="8"/>
        <v>0</v>
      </c>
      <c r="H180" t="str">
        <f>IF(D180="","",IF(G180=0,"Paid",IF(I180&gt;0,"Overdue",IF(D180-'09_SETTINGS'!$I$5&lt;='09_SETTINGS'!$I$8,"Due Soon","Outstanding"))))</f>
        <v/>
      </c>
      <c r="I180" t="str">
        <f>IF(D180="","",MAX(0,'09_SETTINGS'!$I$8-D180))</f>
        <v/>
      </c>
      <c r="J180" s="43" t="str">
        <f t="shared" si="7"/>
        <v/>
      </c>
      <c r="K180" s="6"/>
    </row>
    <row r="181" spans="1:11">
      <c r="A181" s="2"/>
      <c r="B181" s="2"/>
      <c r="C181" s="5"/>
      <c r="D181" s="5"/>
      <c r="E181" s="3"/>
      <c r="F181" s="3"/>
      <c r="G181" s="23">
        <f t="shared" si="8"/>
        <v>0</v>
      </c>
      <c r="H181" t="str">
        <f>IF(D181="","",IF(G181=0,"Paid",IF(I181&gt;0,"Overdue",IF(D181-'09_SETTINGS'!$I$5&lt;='09_SETTINGS'!$I$8,"Due Soon","Outstanding"))))</f>
        <v/>
      </c>
      <c r="I181" t="str">
        <f>IF(D181="","",MAX(0,'09_SETTINGS'!$I$8-D181))</f>
        <v/>
      </c>
      <c r="J181" s="43" t="str">
        <f t="shared" si="7"/>
        <v/>
      </c>
      <c r="K181" s="6"/>
    </row>
    <row r="182" spans="1:11">
      <c r="A182" s="2"/>
      <c r="B182" s="2"/>
      <c r="C182" s="5"/>
      <c r="D182" s="5"/>
      <c r="E182" s="3"/>
      <c r="F182" s="3"/>
      <c r="G182" s="23">
        <f t="shared" si="8"/>
        <v>0</v>
      </c>
      <c r="H182" t="str">
        <f>IF(D182="","",IF(G182=0,"Paid",IF(I182&gt;0,"Overdue",IF(D182-'09_SETTINGS'!$I$5&lt;='09_SETTINGS'!$I$8,"Due Soon","Outstanding"))))</f>
        <v/>
      </c>
      <c r="I182" t="str">
        <f>IF(D182="","",MAX(0,'09_SETTINGS'!$I$8-D182))</f>
        <v/>
      </c>
      <c r="J182" s="43" t="str">
        <f t="shared" si="7"/>
        <v/>
      </c>
      <c r="K182" s="6"/>
    </row>
    <row r="183" spans="1:11">
      <c r="A183" s="2"/>
      <c r="B183" s="2"/>
      <c r="C183" s="5"/>
      <c r="D183" s="5"/>
      <c r="E183" s="3"/>
      <c r="F183" s="3"/>
      <c r="G183" s="23">
        <f t="shared" si="8"/>
        <v>0</v>
      </c>
      <c r="H183" t="str">
        <f>IF(D183="","",IF(G183=0,"Paid",IF(I183&gt;0,"Overdue",IF(D183-'09_SETTINGS'!$I$5&lt;='09_SETTINGS'!$I$8,"Due Soon","Outstanding"))))</f>
        <v/>
      </c>
      <c r="I183" t="str">
        <f>IF(D183="","",MAX(0,'09_SETTINGS'!$I$8-D183))</f>
        <v/>
      </c>
      <c r="J183" s="43" t="str">
        <f t="shared" si="7"/>
        <v/>
      </c>
      <c r="K183" s="6"/>
    </row>
    <row r="184" spans="1:11">
      <c r="A184" s="2"/>
      <c r="B184" s="2"/>
      <c r="C184" s="5"/>
      <c r="D184" s="5"/>
      <c r="E184" s="3"/>
      <c r="F184" s="3"/>
      <c r="G184" s="23">
        <f t="shared" si="8"/>
        <v>0</v>
      </c>
      <c r="H184" t="str">
        <f>IF(D184="","",IF(G184=0,"Paid",IF(I184&gt;0,"Overdue",IF(D184-'09_SETTINGS'!$I$5&lt;='09_SETTINGS'!$I$8,"Due Soon","Outstanding"))))</f>
        <v/>
      </c>
      <c r="I184" t="str">
        <f>IF(D184="","",MAX(0,'09_SETTINGS'!$I$8-D184))</f>
        <v/>
      </c>
      <c r="J184" s="43" t="str">
        <f t="shared" si="7"/>
        <v/>
      </c>
      <c r="K184" s="6"/>
    </row>
    <row r="185" spans="1:11">
      <c r="A185" s="2"/>
      <c r="B185" s="2"/>
      <c r="C185" s="5"/>
      <c r="D185" s="5"/>
      <c r="E185" s="3"/>
      <c r="F185" s="3"/>
      <c r="G185" s="23">
        <f t="shared" si="8"/>
        <v>0</v>
      </c>
      <c r="H185" t="str">
        <f>IF(D185="","",IF(G185=0,"Paid",IF(I185&gt;0,"Overdue",IF(D185-'09_SETTINGS'!$I$5&lt;='09_SETTINGS'!$I$8,"Due Soon","Outstanding"))))</f>
        <v/>
      </c>
      <c r="I185" t="str">
        <f>IF(D185="","",MAX(0,'09_SETTINGS'!$I$8-D185))</f>
        <v/>
      </c>
      <c r="J185" s="43" t="str">
        <f t="shared" si="7"/>
        <v/>
      </c>
      <c r="K185" s="6"/>
    </row>
    <row r="186" spans="1:11">
      <c r="A186" s="2"/>
      <c r="B186" s="2"/>
      <c r="C186" s="5"/>
      <c r="D186" s="5"/>
      <c r="E186" s="3"/>
      <c r="F186" s="3"/>
      <c r="G186" s="23">
        <f t="shared" si="8"/>
        <v>0</v>
      </c>
      <c r="H186" t="str">
        <f>IF(D186="","",IF(G186=0,"Paid",IF(I186&gt;0,"Overdue",IF(D186-'09_SETTINGS'!$I$5&lt;='09_SETTINGS'!$I$8,"Due Soon","Outstanding"))))</f>
        <v/>
      </c>
      <c r="I186" t="str">
        <f>IF(D186="","",MAX(0,'09_SETTINGS'!$I$8-D186))</f>
        <v/>
      </c>
      <c r="J186" s="43" t="str">
        <f t="shared" si="7"/>
        <v/>
      </c>
      <c r="K186" s="6"/>
    </row>
    <row r="187" spans="1:11">
      <c r="A187" s="2"/>
      <c r="B187" s="2"/>
      <c r="C187" s="5"/>
      <c r="D187" s="5"/>
      <c r="E187" s="3"/>
      <c r="F187" s="3"/>
      <c r="G187" s="23">
        <f t="shared" si="8"/>
        <v>0</v>
      </c>
      <c r="H187" t="str">
        <f>IF(D187="","",IF(G187=0,"Paid",IF(I187&gt;0,"Overdue",IF(D187-'09_SETTINGS'!$I$5&lt;='09_SETTINGS'!$I$8,"Due Soon","Outstanding"))))</f>
        <v/>
      </c>
      <c r="I187" t="str">
        <f>IF(D187="","",MAX(0,'09_SETTINGS'!$I$8-D187))</f>
        <v/>
      </c>
      <c r="J187" s="43" t="str">
        <f t="shared" si="7"/>
        <v/>
      </c>
      <c r="K187" s="6"/>
    </row>
    <row r="188" spans="1:11">
      <c r="A188" s="2"/>
      <c r="B188" s="2"/>
      <c r="C188" s="5"/>
      <c r="D188" s="5"/>
      <c r="E188" s="3"/>
      <c r="F188" s="3"/>
      <c r="G188" s="23">
        <f t="shared" si="8"/>
        <v>0</v>
      </c>
      <c r="H188" t="str">
        <f>IF(D188="","",IF(G188=0,"Paid",IF(I188&gt;0,"Overdue",IF(D188-'09_SETTINGS'!$I$5&lt;='09_SETTINGS'!$I$8,"Due Soon","Outstanding"))))</f>
        <v/>
      </c>
      <c r="I188" t="str">
        <f>IF(D188="","",MAX(0,'09_SETTINGS'!$I$8-D188))</f>
        <v/>
      </c>
      <c r="J188" s="43" t="str">
        <f t="shared" si="7"/>
        <v/>
      </c>
      <c r="K188" s="6"/>
    </row>
    <row r="189" spans="1:11">
      <c r="A189" s="2"/>
      <c r="B189" s="2"/>
      <c r="C189" s="5"/>
      <c r="D189" s="5"/>
      <c r="E189" s="3"/>
      <c r="F189" s="3"/>
      <c r="G189" s="23">
        <f t="shared" si="8"/>
        <v>0</v>
      </c>
      <c r="H189" t="str">
        <f>IF(D189="","",IF(G189=0,"Paid",IF(I189&gt;0,"Overdue",IF(D189-'09_SETTINGS'!$I$5&lt;='09_SETTINGS'!$I$8,"Due Soon","Outstanding"))))</f>
        <v/>
      </c>
      <c r="I189" t="str">
        <f>IF(D189="","",MAX(0,'09_SETTINGS'!$I$8-D189))</f>
        <v/>
      </c>
      <c r="J189" s="43" t="str">
        <f t="shared" si="7"/>
        <v/>
      </c>
      <c r="K189" s="6"/>
    </row>
    <row r="190" spans="1:11">
      <c r="A190" s="2"/>
      <c r="B190" s="2"/>
      <c r="C190" s="5"/>
      <c r="D190" s="5"/>
      <c r="E190" s="3"/>
      <c r="F190" s="3"/>
      <c r="G190" s="23">
        <f t="shared" si="8"/>
        <v>0</v>
      </c>
      <c r="H190" t="str">
        <f>IF(D190="","",IF(G190=0,"Paid",IF(I190&gt;0,"Overdue",IF(D190-'09_SETTINGS'!$I$5&lt;='09_SETTINGS'!$I$8,"Due Soon","Outstanding"))))</f>
        <v/>
      </c>
      <c r="I190" t="str">
        <f>IF(D190="","",MAX(0,'09_SETTINGS'!$I$8-D190))</f>
        <v/>
      </c>
      <c r="J190" s="43" t="str">
        <f t="shared" si="7"/>
        <v/>
      </c>
      <c r="K190" s="6"/>
    </row>
    <row r="191" spans="1:11">
      <c r="A191" s="2"/>
      <c r="B191" s="2"/>
      <c r="C191" s="5"/>
      <c r="D191" s="5"/>
      <c r="E191" s="3"/>
      <c r="F191" s="3"/>
      <c r="G191" s="23">
        <f t="shared" si="8"/>
        <v>0</v>
      </c>
      <c r="H191" t="str">
        <f>IF(D191="","",IF(G191=0,"Paid",IF(I191&gt;0,"Overdue",IF(D191-'09_SETTINGS'!$I$5&lt;='09_SETTINGS'!$I$8,"Due Soon","Outstanding"))))</f>
        <v/>
      </c>
      <c r="I191" t="str">
        <f>IF(D191="","",MAX(0,'09_SETTINGS'!$I$8-D191))</f>
        <v/>
      </c>
      <c r="J191" s="43" t="str">
        <f t="shared" si="7"/>
        <v/>
      </c>
      <c r="K191" s="6"/>
    </row>
    <row r="192" spans="1:11">
      <c r="A192" s="2"/>
      <c r="B192" s="2"/>
      <c r="C192" s="5"/>
      <c r="D192" s="5"/>
      <c r="E192" s="3"/>
      <c r="F192" s="3"/>
      <c r="G192" s="23">
        <f t="shared" si="8"/>
        <v>0</v>
      </c>
      <c r="H192" t="str">
        <f>IF(D192="","",IF(G192=0,"Paid",IF(I192&gt;0,"Overdue",IF(D192-'09_SETTINGS'!$I$5&lt;='09_SETTINGS'!$I$8,"Due Soon","Outstanding"))))</f>
        <v/>
      </c>
      <c r="I192" t="str">
        <f>IF(D192="","",MAX(0,'09_SETTINGS'!$I$8-D192))</f>
        <v/>
      </c>
      <c r="J192" s="43" t="str">
        <f t="shared" si="7"/>
        <v/>
      </c>
      <c r="K192" s="6"/>
    </row>
    <row r="193" spans="1:11">
      <c r="A193" s="2"/>
      <c r="B193" s="2"/>
      <c r="C193" s="5"/>
      <c r="D193" s="5"/>
      <c r="E193" s="3"/>
      <c r="F193" s="3"/>
      <c r="G193" s="23">
        <f t="shared" si="8"/>
        <v>0</v>
      </c>
      <c r="H193" t="str">
        <f>IF(D193="","",IF(G193=0,"Paid",IF(I193&gt;0,"Overdue",IF(D193-'09_SETTINGS'!$I$5&lt;='09_SETTINGS'!$I$8,"Due Soon","Outstanding"))))</f>
        <v/>
      </c>
      <c r="I193" t="str">
        <f>IF(D193="","",MAX(0,'09_SETTINGS'!$I$8-D193))</f>
        <v/>
      </c>
      <c r="J193" s="43" t="str">
        <f t="shared" si="7"/>
        <v/>
      </c>
      <c r="K193" s="6"/>
    </row>
    <row r="194" spans="1:11">
      <c r="A194" s="2"/>
      <c r="B194" s="2"/>
      <c r="C194" s="5"/>
      <c r="D194" s="5"/>
      <c r="E194" s="3"/>
      <c r="F194" s="3"/>
      <c r="G194" s="23">
        <f t="shared" si="8"/>
        <v>0</v>
      </c>
      <c r="H194" t="str">
        <f>IF(D194="","",IF(G194=0,"Paid",IF(I194&gt;0,"Overdue",IF(D194-'09_SETTINGS'!$I$5&lt;='09_SETTINGS'!$I$8,"Due Soon","Outstanding"))))</f>
        <v/>
      </c>
      <c r="I194" t="str">
        <f>IF(D194="","",MAX(0,'09_SETTINGS'!$I$8-D194))</f>
        <v/>
      </c>
      <c r="J194" s="43" t="str">
        <f t="shared" si="7"/>
        <v/>
      </c>
      <c r="K194" s="6"/>
    </row>
    <row r="195" spans="1:11">
      <c r="A195" s="2"/>
      <c r="B195" s="2"/>
      <c r="C195" s="5"/>
      <c r="D195" s="5"/>
      <c r="E195" s="3"/>
      <c r="F195" s="3"/>
      <c r="G195" s="23">
        <f t="shared" si="8"/>
        <v>0</v>
      </c>
      <c r="H195" t="str">
        <f>IF(D195="","",IF(G195=0,"Paid",IF(I195&gt;0,"Overdue",IF(D195-'09_SETTINGS'!$I$5&lt;='09_SETTINGS'!$I$8,"Due Soon","Outstanding"))))</f>
        <v/>
      </c>
      <c r="I195" t="str">
        <f>IF(D195="","",MAX(0,'09_SETTINGS'!$I$8-D195))</f>
        <v/>
      </c>
      <c r="J195" s="43" t="str">
        <f t="shared" si="7"/>
        <v/>
      </c>
      <c r="K195" s="6"/>
    </row>
    <row r="196" spans="1:11">
      <c r="A196" s="2"/>
      <c r="B196" s="2"/>
      <c r="C196" s="5"/>
      <c r="D196" s="5"/>
      <c r="E196" s="3"/>
      <c r="F196" s="3"/>
      <c r="G196" s="23">
        <f t="shared" ref="G196:G203" si="9">E196-F196</f>
        <v>0</v>
      </c>
      <c r="H196" t="str">
        <f>IF(D196="","",IF(G196=0,"Paid",IF(I196&gt;0,"Overdue",IF(D196-'09_SETTINGS'!$I$5&lt;='09_SETTINGS'!$I$8,"Due Soon","Outstanding"))))</f>
        <v/>
      </c>
      <c r="I196" t="str">
        <f>IF(D196="","",MAX(0,'09_SETTINGS'!$I$8-D196))</f>
        <v/>
      </c>
      <c r="J196" s="43" t="str">
        <f t="shared" si="7"/>
        <v/>
      </c>
      <c r="K196" s="6"/>
    </row>
    <row r="197" spans="1:11">
      <c r="A197" s="2"/>
      <c r="B197" s="2"/>
      <c r="C197" s="5"/>
      <c r="D197" s="5"/>
      <c r="E197" s="3"/>
      <c r="F197" s="3"/>
      <c r="G197" s="23">
        <f t="shared" si="9"/>
        <v>0</v>
      </c>
      <c r="H197" t="str">
        <f>IF(D197="","",IF(G197=0,"Paid",IF(I197&gt;0,"Overdue",IF(D197-'09_SETTINGS'!$I$5&lt;='09_SETTINGS'!$I$8,"Due Soon","Outstanding"))))</f>
        <v/>
      </c>
      <c r="I197" t="str">
        <f>IF(D197="","",MAX(0,'09_SETTINGS'!$I$8-D197))</f>
        <v/>
      </c>
      <c r="J197" s="43" t="str">
        <f t="shared" ref="J197:J203" si="10">IF(D197="","",D197)</f>
        <v/>
      </c>
      <c r="K197" s="6"/>
    </row>
    <row r="198" spans="1:11">
      <c r="A198" s="2"/>
      <c r="B198" s="2"/>
      <c r="C198" s="5"/>
      <c r="D198" s="5"/>
      <c r="E198" s="3"/>
      <c r="F198" s="3"/>
      <c r="G198" s="23">
        <f t="shared" si="9"/>
        <v>0</v>
      </c>
      <c r="H198" t="str">
        <f>IF(D198="","",IF(G198=0,"Paid",IF(I198&gt;0,"Overdue",IF(D198-'09_SETTINGS'!$I$5&lt;='09_SETTINGS'!$I$8,"Due Soon","Outstanding"))))</f>
        <v/>
      </c>
      <c r="I198" t="str">
        <f>IF(D198="","",MAX(0,'09_SETTINGS'!$I$8-D198))</f>
        <v/>
      </c>
      <c r="J198" s="43" t="str">
        <f t="shared" si="10"/>
        <v/>
      </c>
      <c r="K198" s="6"/>
    </row>
    <row r="199" spans="1:11">
      <c r="A199" s="2"/>
      <c r="B199" s="2"/>
      <c r="C199" s="5"/>
      <c r="D199" s="5"/>
      <c r="E199" s="3"/>
      <c r="F199" s="3"/>
      <c r="G199" s="23">
        <f t="shared" si="9"/>
        <v>0</v>
      </c>
      <c r="H199" t="str">
        <f>IF(D199="","",IF(G199=0,"Paid",IF(I199&gt;0,"Overdue",IF(D199-'09_SETTINGS'!$I$5&lt;='09_SETTINGS'!$I$8,"Due Soon","Outstanding"))))</f>
        <v/>
      </c>
      <c r="I199" t="str">
        <f>IF(D199="","",MAX(0,'09_SETTINGS'!$I$8-D199))</f>
        <v/>
      </c>
      <c r="J199" s="43" t="str">
        <f t="shared" si="10"/>
        <v/>
      </c>
      <c r="K199" s="6"/>
    </row>
    <row r="200" spans="1:11">
      <c r="A200" s="2"/>
      <c r="B200" s="2"/>
      <c r="C200" s="5"/>
      <c r="D200" s="5"/>
      <c r="E200" s="3"/>
      <c r="F200" s="3"/>
      <c r="G200" s="23">
        <f t="shared" si="9"/>
        <v>0</v>
      </c>
      <c r="H200" t="str">
        <f>IF(D200="","",IF(G200=0,"Paid",IF(I200&gt;0,"Overdue",IF(D200-'09_SETTINGS'!$I$5&lt;='09_SETTINGS'!$I$8,"Due Soon","Outstanding"))))</f>
        <v/>
      </c>
      <c r="I200" t="str">
        <f>IF(D200="","",MAX(0,'09_SETTINGS'!$I$8-D200))</f>
        <v/>
      </c>
      <c r="J200" s="43" t="str">
        <f t="shared" si="10"/>
        <v/>
      </c>
      <c r="K200" s="6"/>
    </row>
    <row r="201" spans="1:11">
      <c r="A201" s="2"/>
      <c r="B201" s="2"/>
      <c r="C201" s="5"/>
      <c r="D201" s="5"/>
      <c r="E201" s="3"/>
      <c r="F201" s="3"/>
      <c r="G201" s="23">
        <f t="shared" si="9"/>
        <v>0</v>
      </c>
      <c r="H201" t="str">
        <f>IF(D201="","",IF(G201=0,"Paid",IF(I201&gt;0,"Overdue",IF(D201-'09_SETTINGS'!$I$5&lt;='09_SETTINGS'!$I$8,"Due Soon","Outstanding"))))</f>
        <v/>
      </c>
      <c r="I201" t="str">
        <f>IF(D201="","",MAX(0,'09_SETTINGS'!$I$8-D201))</f>
        <v/>
      </c>
      <c r="J201" s="43" t="str">
        <f t="shared" si="10"/>
        <v/>
      </c>
      <c r="K201" s="6"/>
    </row>
    <row r="202" spans="1:11">
      <c r="A202" s="2"/>
      <c r="B202" s="2"/>
      <c r="C202" s="5"/>
      <c r="D202" s="5"/>
      <c r="E202" s="3"/>
      <c r="F202" s="3"/>
      <c r="G202" s="23">
        <f t="shared" si="9"/>
        <v>0</v>
      </c>
      <c r="H202" t="str">
        <f>IF(D202="","",IF(G202=0,"Paid",IF(I202&gt;0,"Overdue",IF(D202-'09_SETTINGS'!$I$5&lt;='09_SETTINGS'!$I$8,"Due Soon","Outstanding"))))</f>
        <v/>
      </c>
      <c r="I202" t="str">
        <f>IF(D202="","",MAX(0,'09_SETTINGS'!$I$8-D202))</f>
        <v/>
      </c>
      <c r="J202" s="43" t="str">
        <f t="shared" si="10"/>
        <v/>
      </c>
      <c r="K202" s="6"/>
    </row>
    <row r="203" spans="1:11">
      <c r="A203" s="2"/>
      <c r="B203" s="2"/>
      <c r="C203" s="5"/>
      <c r="D203" s="5"/>
      <c r="E203" s="3"/>
      <c r="F203" s="3"/>
      <c r="G203" s="23">
        <f t="shared" si="9"/>
        <v>0</v>
      </c>
      <c r="H203" t="str">
        <f>IF(D203="","",IF(G203=0,"Paid",IF(I203&gt;0,"Overdue",IF(D203-'09_SETTINGS'!$I$5&lt;='09_SETTINGS'!$I$8,"Due Soon","Outstanding"))))</f>
        <v/>
      </c>
      <c r="I203" t="str">
        <f>IF(D203="","",MAX(0,'09_SETTINGS'!$I$8-D203))</f>
        <v/>
      </c>
      <c r="J203" s="43" t="str">
        <f t="shared" si="10"/>
        <v/>
      </c>
      <c r="K203" s="6"/>
    </row>
  </sheetData>
  <mergeCells count="1">
    <mergeCell ref="A1:K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03"/>
  <sheetViews>
    <sheetView showGridLines="0" topLeftCell="D1" workbookViewId="0">
      <selection activeCell="J14" sqref="J14"/>
    </sheetView>
  </sheetViews>
  <sheetFormatPr defaultRowHeight="14.25"/>
  <cols>
    <col min="1" max="1" width="23" customWidth="1"/>
    <col min="2" max="3" width="14" customWidth="1"/>
    <col min="4" max="5" width="15" customWidth="1"/>
    <col min="6" max="7" width="16" customWidth="1"/>
    <col min="8" max="8" width="12" customWidth="1"/>
    <col min="9" max="9" width="16" customWidth="1"/>
    <col min="10" max="10" width="25" customWidth="1"/>
  </cols>
  <sheetData>
    <row r="1" spans="1:10" ht="30" customHeight="1">
      <c r="A1" s="45" t="s">
        <v>187</v>
      </c>
      <c r="B1" s="45" t="s">
        <v>187</v>
      </c>
      <c r="C1" s="45" t="s">
        <v>187</v>
      </c>
      <c r="D1" s="45" t="s">
        <v>187</v>
      </c>
      <c r="E1" s="45" t="s">
        <v>187</v>
      </c>
      <c r="F1" s="45" t="s">
        <v>187</v>
      </c>
      <c r="G1" s="45" t="s">
        <v>187</v>
      </c>
      <c r="H1" s="45" t="s">
        <v>187</v>
      </c>
      <c r="I1" s="45" t="s">
        <v>187</v>
      </c>
      <c r="J1" s="45" t="s">
        <v>187</v>
      </c>
    </row>
    <row r="3" spans="1:10" ht="15">
      <c r="A3" s="1" t="s">
        <v>188</v>
      </c>
      <c r="B3" s="1" t="s">
        <v>189</v>
      </c>
      <c r="C3" s="1" t="s">
        <v>178</v>
      </c>
      <c r="D3" s="1" t="s">
        <v>46</v>
      </c>
      <c r="E3" s="1" t="s">
        <v>103</v>
      </c>
      <c r="F3" s="1" t="s">
        <v>58</v>
      </c>
      <c r="G3" s="1" t="s">
        <v>83</v>
      </c>
      <c r="H3" s="1" t="s">
        <v>190</v>
      </c>
      <c r="I3" s="1" t="s">
        <v>88</v>
      </c>
      <c r="J3" s="1" t="s">
        <v>90</v>
      </c>
    </row>
    <row r="4" spans="1:10">
      <c r="A4" t="s">
        <v>123</v>
      </c>
      <c r="B4" s="9">
        <v>46235</v>
      </c>
      <c r="C4" s="9">
        <v>46266</v>
      </c>
      <c r="D4" s="10">
        <v>25000</v>
      </c>
      <c r="E4" s="10">
        <v>0</v>
      </c>
      <c r="F4" s="23">
        <f t="shared" ref="F4:F35" si="0">D4-E4</f>
        <v>25000</v>
      </c>
      <c r="G4" t="s">
        <v>49</v>
      </c>
      <c r="H4" t="s">
        <v>191</v>
      </c>
      <c r="I4" t="str">
        <f>IF(C4="","",IF(F4=0,"Paid",IF(C4&lt;'09_SETTINGS'!$I$8,"Overdue",IF(C4-'09_SETTINGS'!$I$5&lt;='09_SETTINGS'!$I$8,"Upcoming","Scheduled"))))</f>
        <v>Upcoming</v>
      </c>
      <c r="J4" s="6"/>
    </row>
    <row r="5" spans="1:10">
      <c r="A5" t="s">
        <v>192</v>
      </c>
      <c r="B5" s="9">
        <v>46254</v>
      </c>
      <c r="C5" s="9">
        <v>46270</v>
      </c>
      <c r="D5" s="10">
        <v>40000</v>
      </c>
      <c r="E5" s="10">
        <v>0</v>
      </c>
      <c r="F5" s="23">
        <f t="shared" si="0"/>
        <v>40000</v>
      </c>
      <c r="G5" t="s">
        <v>48</v>
      </c>
      <c r="H5" t="s">
        <v>191</v>
      </c>
      <c r="I5" t="str">
        <f>IF(C5="","",IF(F5=0,"Paid",IF(C5&lt;'09_SETTINGS'!$I$8,"Overdue",IF(C5-'09_SETTINGS'!$I$5&lt;='09_SETTINGS'!$I$8,"Upcoming","Scheduled"))))</f>
        <v>Upcoming</v>
      </c>
      <c r="J5" s="6"/>
    </row>
    <row r="6" spans="1:10">
      <c r="A6" t="s">
        <v>108</v>
      </c>
      <c r="B6" s="9">
        <v>46249</v>
      </c>
      <c r="C6" s="9">
        <v>46275</v>
      </c>
      <c r="D6" s="10">
        <v>4200</v>
      </c>
      <c r="E6" s="10">
        <v>0</v>
      </c>
      <c r="F6" s="23">
        <f t="shared" si="0"/>
        <v>4200</v>
      </c>
      <c r="G6" t="s">
        <v>56</v>
      </c>
      <c r="H6" t="s">
        <v>193</v>
      </c>
      <c r="I6" t="str">
        <f>IF(C6="","",IF(F6=0,"Paid",IF(C6&lt;'09_SETTINGS'!$I$8,"Overdue",IF(C6-'09_SETTINGS'!$I$5&lt;='09_SETTINGS'!$I$8,"Upcoming","Scheduled"))))</f>
        <v>Scheduled</v>
      </c>
      <c r="J6" s="6"/>
    </row>
    <row r="7" spans="1:10">
      <c r="A7" t="s">
        <v>194</v>
      </c>
      <c r="B7" s="9">
        <v>46265</v>
      </c>
      <c r="C7" s="9">
        <v>46285</v>
      </c>
      <c r="D7" s="10">
        <v>38000</v>
      </c>
      <c r="E7" s="10">
        <v>0</v>
      </c>
      <c r="F7" s="23">
        <f t="shared" si="0"/>
        <v>38000</v>
      </c>
      <c r="G7" t="s">
        <v>195</v>
      </c>
      <c r="H7" t="s">
        <v>191</v>
      </c>
      <c r="I7" t="str">
        <f>IF(C7="","",IF(F7=0,"Paid",IF(C7&lt;'09_SETTINGS'!$I$8,"Overdue",IF(C7-'09_SETTINGS'!$I$5&lt;='09_SETTINGS'!$I$8,"Upcoming","Scheduled"))))</f>
        <v>Scheduled</v>
      </c>
      <c r="J7" s="6"/>
    </row>
    <row r="8" spans="1:10">
      <c r="A8" t="s">
        <v>196</v>
      </c>
      <c r="B8" s="9">
        <v>46259</v>
      </c>
      <c r="C8" s="9">
        <v>46280</v>
      </c>
      <c r="D8" s="10">
        <v>22000</v>
      </c>
      <c r="E8" s="10">
        <v>0</v>
      </c>
      <c r="F8" s="23">
        <f t="shared" si="0"/>
        <v>22000</v>
      </c>
      <c r="G8" t="s">
        <v>50</v>
      </c>
      <c r="H8" t="s">
        <v>193</v>
      </c>
      <c r="I8" t="str">
        <f>IF(C8="","",IF(F8=0,"Paid",IF(C8&lt;'09_SETTINGS'!$I$8,"Overdue",IF(C8-'09_SETTINGS'!$I$5&lt;='09_SETTINGS'!$I$8,"Upcoming","Scheduled"))))</f>
        <v>Scheduled</v>
      </c>
      <c r="J8" s="6"/>
    </row>
    <row r="9" spans="1:10">
      <c r="A9" s="2"/>
      <c r="B9" s="5"/>
      <c r="C9" s="5"/>
      <c r="D9" s="3"/>
      <c r="E9" s="3"/>
      <c r="F9" s="23">
        <f t="shared" si="0"/>
        <v>0</v>
      </c>
      <c r="G9" s="2"/>
      <c r="H9" s="2"/>
      <c r="I9" t="str">
        <f>IF(C9="","",IF(F9=0,"Paid",IF(C9&lt;'09_SETTINGS'!$I$8,"Overdue",IF(C9-'09_SETTINGS'!$I$5&lt;='09_SETTINGS'!$I$8,"Upcoming","Scheduled"))))</f>
        <v/>
      </c>
      <c r="J9" s="6"/>
    </row>
    <row r="10" spans="1:10">
      <c r="A10" s="2"/>
      <c r="B10" s="5"/>
      <c r="C10" s="5"/>
      <c r="D10" s="3"/>
      <c r="E10" s="3"/>
      <c r="F10" s="23">
        <f t="shared" si="0"/>
        <v>0</v>
      </c>
      <c r="G10" s="2"/>
      <c r="H10" s="2"/>
      <c r="I10" t="str">
        <f>IF(C10="","",IF(F10=0,"Paid",IF(C10&lt;'09_SETTINGS'!$I$8,"Overdue",IF(C10-'09_SETTINGS'!$I$5&lt;='09_SETTINGS'!$I$8,"Upcoming","Scheduled"))))</f>
        <v/>
      </c>
      <c r="J10" s="6"/>
    </row>
    <row r="11" spans="1:10">
      <c r="A11" s="2"/>
      <c r="B11" s="5"/>
      <c r="C11" s="5"/>
      <c r="D11" s="3"/>
      <c r="E11" s="3"/>
      <c r="F11" s="23">
        <f t="shared" si="0"/>
        <v>0</v>
      </c>
      <c r="G11" s="2"/>
      <c r="H11" s="2"/>
      <c r="I11" t="str">
        <f>IF(C11="","",IF(F11=0,"Paid",IF(C11&lt;'09_SETTINGS'!$I$8,"Overdue",IF(C11-'09_SETTINGS'!$I$5&lt;='09_SETTINGS'!$I$8,"Upcoming","Scheduled"))))</f>
        <v/>
      </c>
      <c r="J11" s="6"/>
    </row>
    <row r="12" spans="1:10">
      <c r="A12" s="2"/>
      <c r="B12" s="5"/>
      <c r="C12" s="5"/>
      <c r="D12" s="3"/>
      <c r="E12" s="3"/>
      <c r="F12" s="23">
        <f t="shared" si="0"/>
        <v>0</v>
      </c>
      <c r="G12" s="2"/>
      <c r="H12" s="2"/>
      <c r="I12" t="str">
        <f>IF(C12="","",IF(F12=0,"Paid",IF(C12&lt;'09_SETTINGS'!$I$8,"Overdue",IF(C12-'09_SETTINGS'!$I$5&lt;='09_SETTINGS'!$I$8,"Upcoming","Scheduled"))))</f>
        <v/>
      </c>
      <c r="J12" s="6"/>
    </row>
    <row r="13" spans="1:10">
      <c r="A13" s="2"/>
      <c r="B13" s="5"/>
      <c r="C13" s="5"/>
      <c r="D13" s="3"/>
      <c r="E13" s="3"/>
      <c r="F13" s="23">
        <f t="shared" si="0"/>
        <v>0</v>
      </c>
      <c r="G13" s="2"/>
      <c r="H13" s="2"/>
      <c r="I13" t="str">
        <f>IF(C13="","",IF(F13=0,"Paid",IF(C13&lt;'09_SETTINGS'!$I$8,"Overdue",IF(C13-'09_SETTINGS'!$I$5&lt;='09_SETTINGS'!$I$8,"Upcoming","Scheduled"))))</f>
        <v/>
      </c>
      <c r="J13" s="6"/>
    </row>
    <row r="14" spans="1:10">
      <c r="A14" s="2"/>
      <c r="B14" s="5"/>
      <c r="C14" s="5"/>
      <c r="D14" s="3"/>
      <c r="E14" s="3"/>
      <c r="F14" s="23">
        <f t="shared" si="0"/>
        <v>0</v>
      </c>
      <c r="G14" s="2"/>
      <c r="H14" s="2"/>
      <c r="I14" t="str">
        <f>IF(C14="","",IF(F14=0,"Paid",IF(C14&lt;'09_SETTINGS'!$I$8,"Overdue",IF(C14-'09_SETTINGS'!$I$5&lt;='09_SETTINGS'!$I$8,"Upcoming","Scheduled"))))</f>
        <v/>
      </c>
      <c r="J14" s="6"/>
    </row>
    <row r="15" spans="1:10">
      <c r="A15" s="2"/>
      <c r="B15" s="5"/>
      <c r="C15" s="5"/>
      <c r="D15" s="3"/>
      <c r="E15" s="3"/>
      <c r="F15" s="23">
        <f t="shared" si="0"/>
        <v>0</v>
      </c>
      <c r="G15" s="2"/>
      <c r="H15" s="2"/>
      <c r="I15" t="str">
        <f>IF(C15="","",IF(F15=0,"Paid",IF(C15&lt;'09_SETTINGS'!$I$8,"Overdue",IF(C15-'09_SETTINGS'!$I$5&lt;='09_SETTINGS'!$I$8,"Upcoming","Scheduled"))))</f>
        <v/>
      </c>
      <c r="J15" s="6"/>
    </row>
    <row r="16" spans="1:10">
      <c r="A16" s="2"/>
      <c r="B16" s="5"/>
      <c r="C16" s="5"/>
      <c r="D16" s="3"/>
      <c r="E16" s="3"/>
      <c r="F16" s="23">
        <f t="shared" si="0"/>
        <v>0</v>
      </c>
      <c r="G16" s="2"/>
      <c r="H16" s="2"/>
      <c r="I16" t="str">
        <f>IF(C16="","",IF(F16=0,"Paid",IF(C16&lt;'09_SETTINGS'!$I$8,"Overdue",IF(C16-'09_SETTINGS'!$I$5&lt;='09_SETTINGS'!$I$8,"Upcoming","Scheduled"))))</f>
        <v/>
      </c>
      <c r="J16" s="6"/>
    </row>
    <row r="17" spans="1:10">
      <c r="A17" s="2"/>
      <c r="B17" s="5"/>
      <c r="C17" s="5"/>
      <c r="D17" s="3"/>
      <c r="E17" s="3"/>
      <c r="F17" s="23">
        <f t="shared" si="0"/>
        <v>0</v>
      </c>
      <c r="G17" s="2"/>
      <c r="H17" s="2"/>
      <c r="I17" t="str">
        <f>IF(C17="","",IF(F17=0,"Paid",IF(C17&lt;'09_SETTINGS'!$I$8,"Overdue",IF(C17-'09_SETTINGS'!$I$5&lt;='09_SETTINGS'!$I$8,"Upcoming","Scheduled"))))</f>
        <v/>
      </c>
      <c r="J17" s="6"/>
    </row>
    <row r="18" spans="1:10">
      <c r="A18" s="2"/>
      <c r="B18" s="5"/>
      <c r="C18" s="5"/>
      <c r="D18" s="3"/>
      <c r="E18" s="3"/>
      <c r="F18" s="23">
        <f t="shared" si="0"/>
        <v>0</v>
      </c>
      <c r="G18" s="2"/>
      <c r="H18" s="2"/>
      <c r="I18" t="str">
        <f>IF(C18="","",IF(F18=0,"Paid",IF(C18&lt;'09_SETTINGS'!$I$8,"Overdue",IF(C18-'09_SETTINGS'!$I$5&lt;='09_SETTINGS'!$I$8,"Upcoming","Scheduled"))))</f>
        <v/>
      </c>
      <c r="J18" s="6"/>
    </row>
    <row r="19" spans="1:10">
      <c r="A19" s="2"/>
      <c r="B19" s="5"/>
      <c r="C19" s="5"/>
      <c r="D19" s="3"/>
      <c r="E19" s="3"/>
      <c r="F19" s="23">
        <f t="shared" si="0"/>
        <v>0</v>
      </c>
      <c r="G19" s="2"/>
      <c r="H19" s="2"/>
      <c r="I19" t="str">
        <f>IF(C19="","",IF(F19=0,"Paid",IF(C19&lt;'09_SETTINGS'!$I$8,"Overdue",IF(C19-'09_SETTINGS'!$I$5&lt;='09_SETTINGS'!$I$8,"Upcoming","Scheduled"))))</f>
        <v/>
      </c>
      <c r="J19" s="6"/>
    </row>
    <row r="20" spans="1:10">
      <c r="A20" s="2"/>
      <c r="B20" s="5"/>
      <c r="C20" s="5"/>
      <c r="D20" s="3"/>
      <c r="E20" s="3"/>
      <c r="F20" s="23">
        <f t="shared" si="0"/>
        <v>0</v>
      </c>
      <c r="G20" s="2"/>
      <c r="H20" s="2"/>
      <c r="I20" t="str">
        <f>IF(C20="","",IF(F20=0,"Paid",IF(C20&lt;'09_SETTINGS'!$I$8,"Overdue",IF(C20-'09_SETTINGS'!$I$5&lt;='09_SETTINGS'!$I$8,"Upcoming","Scheduled"))))</f>
        <v/>
      </c>
      <c r="J20" s="6"/>
    </row>
    <row r="21" spans="1:10">
      <c r="A21" s="2"/>
      <c r="B21" s="5"/>
      <c r="C21" s="5"/>
      <c r="D21" s="3"/>
      <c r="E21" s="3"/>
      <c r="F21" s="23">
        <f t="shared" si="0"/>
        <v>0</v>
      </c>
      <c r="G21" s="2"/>
      <c r="H21" s="2"/>
      <c r="I21" t="str">
        <f>IF(C21="","",IF(F21=0,"Paid",IF(C21&lt;'09_SETTINGS'!$I$8,"Overdue",IF(C21-'09_SETTINGS'!$I$5&lt;='09_SETTINGS'!$I$8,"Upcoming","Scheduled"))))</f>
        <v/>
      </c>
      <c r="J21" s="6"/>
    </row>
    <row r="22" spans="1:10">
      <c r="A22" s="2"/>
      <c r="B22" s="5"/>
      <c r="C22" s="5"/>
      <c r="D22" s="3"/>
      <c r="E22" s="3"/>
      <c r="F22" s="23">
        <f t="shared" si="0"/>
        <v>0</v>
      </c>
      <c r="G22" s="2"/>
      <c r="H22" s="2"/>
      <c r="I22" t="str">
        <f>IF(C22="","",IF(F22=0,"Paid",IF(C22&lt;'09_SETTINGS'!$I$8,"Overdue",IF(C22-'09_SETTINGS'!$I$5&lt;='09_SETTINGS'!$I$8,"Upcoming","Scheduled"))))</f>
        <v/>
      </c>
      <c r="J22" s="6"/>
    </row>
    <row r="23" spans="1:10">
      <c r="A23" s="2"/>
      <c r="B23" s="5"/>
      <c r="C23" s="5"/>
      <c r="D23" s="3"/>
      <c r="E23" s="3"/>
      <c r="F23" s="23">
        <f t="shared" si="0"/>
        <v>0</v>
      </c>
      <c r="G23" s="2"/>
      <c r="H23" s="2"/>
      <c r="I23" t="str">
        <f>IF(C23="","",IF(F23=0,"Paid",IF(C23&lt;'09_SETTINGS'!$I$8,"Overdue",IF(C23-'09_SETTINGS'!$I$5&lt;='09_SETTINGS'!$I$8,"Upcoming","Scheduled"))))</f>
        <v/>
      </c>
      <c r="J23" s="6"/>
    </row>
    <row r="24" spans="1:10">
      <c r="A24" s="2"/>
      <c r="B24" s="5"/>
      <c r="C24" s="5"/>
      <c r="D24" s="3"/>
      <c r="E24" s="3"/>
      <c r="F24" s="23">
        <f t="shared" si="0"/>
        <v>0</v>
      </c>
      <c r="G24" s="2"/>
      <c r="H24" s="2"/>
      <c r="I24" t="str">
        <f>IF(C24="","",IF(F24=0,"Paid",IF(C24&lt;'09_SETTINGS'!$I$8,"Overdue",IF(C24-'09_SETTINGS'!$I$5&lt;='09_SETTINGS'!$I$8,"Upcoming","Scheduled"))))</f>
        <v/>
      </c>
      <c r="J24" s="6"/>
    </row>
    <row r="25" spans="1:10">
      <c r="A25" s="2"/>
      <c r="B25" s="5"/>
      <c r="C25" s="5"/>
      <c r="D25" s="3"/>
      <c r="E25" s="3"/>
      <c r="F25" s="23">
        <f t="shared" si="0"/>
        <v>0</v>
      </c>
      <c r="G25" s="2"/>
      <c r="H25" s="2"/>
      <c r="I25" t="str">
        <f>IF(C25="","",IF(F25=0,"Paid",IF(C25&lt;'09_SETTINGS'!$I$8,"Overdue",IF(C25-'09_SETTINGS'!$I$5&lt;='09_SETTINGS'!$I$8,"Upcoming","Scheduled"))))</f>
        <v/>
      </c>
      <c r="J25" s="6"/>
    </row>
    <row r="26" spans="1:10">
      <c r="A26" s="2"/>
      <c r="B26" s="5"/>
      <c r="C26" s="5"/>
      <c r="D26" s="3"/>
      <c r="E26" s="3"/>
      <c r="F26" s="23">
        <f t="shared" si="0"/>
        <v>0</v>
      </c>
      <c r="G26" s="2"/>
      <c r="H26" s="2"/>
      <c r="I26" t="str">
        <f>IF(C26="","",IF(F26=0,"Paid",IF(C26&lt;'09_SETTINGS'!$I$8,"Overdue",IF(C26-'09_SETTINGS'!$I$5&lt;='09_SETTINGS'!$I$8,"Upcoming","Scheduled"))))</f>
        <v/>
      </c>
      <c r="J26" s="6"/>
    </row>
    <row r="27" spans="1:10">
      <c r="A27" s="2"/>
      <c r="B27" s="5"/>
      <c r="C27" s="5"/>
      <c r="D27" s="3"/>
      <c r="E27" s="3"/>
      <c r="F27" s="23">
        <f t="shared" si="0"/>
        <v>0</v>
      </c>
      <c r="G27" s="2"/>
      <c r="H27" s="2"/>
      <c r="I27" t="str">
        <f>IF(C27="","",IF(F27=0,"Paid",IF(C27&lt;'09_SETTINGS'!$I$8,"Overdue",IF(C27-'09_SETTINGS'!$I$5&lt;='09_SETTINGS'!$I$8,"Upcoming","Scheduled"))))</f>
        <v/>
      </c>
      <c r="J27" s="6"/>
    </row>
    <row r="28" spans="1:10">
      <c r="A28" s="2"/>
      <c r="B28" s="5"/>
      <c r="C28" s="5"/>
      <c r="D28" s="3"/>
      <c r="E28" s="3"/>
      <c r="F28" s="23">
        <f t="shared" si="0"/>
        <v>0</v>
      </c>
      <c r="G28" s="2"/>
      <c r="H28" s="2"/>
      <c r="I28" t="str">
        <f>IF(C28="","",IF(F28=0,"Paid",IF(C28&lt;'09_SETTINGS'!$I$8,"Overdue",IF(C28-'09_SETTINGS'!$I$5&lt;='09_SETTINGS'!$I$8,"Upcoming","Scheduled"))))</f>
        <v/>
      </c>
      <c r="J28" s="6"/>
    </row>
    <row r="29" spans="1:10">
      <c r="A29" s="2"/>
      <c r="B29" s="5"/>
      <c r="C29" s="5"/>
      <c r="D29" s="3"/>
      <c r="E29" s="3"/>
      <c r="F29" s="23">
        <f t="shared" si="0"/>
        <v>0</v>
      </c>
      <c r="G29" s="2"/>
      <c r="H29" s="2"/>
      <c r="I29" t="str">
        <f>IF(C29="","",IF(F29=0,"Paid",IF(C29&lt;'09_SETTINGS'!$I$8,"Overdue",IF(C29-'09_SETTINGS'!$I$5&lt;='09_SETTINGS'!$I$8,"Upcoming","Scheduled"))))</f>
        <v/>
      </c>
      <c r="J29" s="6"/>
    </row>
    <row r="30" spans="1:10">
      <c r="A30" s="2"/>
      <c r="B30" s="5"/>
      <c r="C30" s="5"/>
      <c r="D30" s="3"/>
      <c r="E30" s="3"/>
      <c r="F30" s="23">
        <f t="shared" si="0"/>
        <v>0</v>
      </c>
      <c r="G30" s="2"/>
      <c r="H30" s="2"/>
      <c r="I30" t="str">
        <f>IF(C30="","",IF(F30=0,"Paid",IF(C30&lt;'09_SETTINGS'!$I$8,"Overdue",IF(C30-'09_SETTINGS'!$I$5&lt;='09_SETTINGS'!$I$8,"Upcoming","Scheduled"))))</f>
        <v/>
      </c>
      <c r="J30" s="6"/>
    </row>
    <row r="31" spans="1:10">
      <c r="A31" s="2"/>
      <c r="B31" s="5"/>
      <c r="C31" s="5"/>
      <c r="D31" s="3"/>
      <c r="E31" s="3"/>
      <c r="F31" s="23">
        <f t="shared" si="0"/>
        <v>0</v>
      </c>
      <c r="G31" s="2"/>
      <c r="H31" s="2"/>
      <c r="I31" t="str">
        <f>IF(C31="","",IF(F31=0,"Paid",IF(C31&lt;'09_SETTINGS'!$I$8,"Overdue",IF(C31-'09_SETTINGS'!$I$5&lt;='09_SETTINGS'!$I$8,"Upcoming","Scheduled"))))</f>
        <v/>
      </c>
      <c r="J31" s="6"/>
    </row>
    <row r="32" spans="1:10">
      <c r="A32" s="2"/>
      <c r="B32" s="5"/>
      <c r="C32" s="5"/>
      <c r="D32" s="3"/>
      <c r="E32" s="3"/>
      <c r="F32" s="23">
        <f t="shared" si="0"/>
        <v>0</v>
      </c>
      <c r="G32" s="2"/>
      <c r="H32" s="2"/>
      <c r="I32" t="str">
        <f>IF(C32="","",IF(F32=0,"Paid",IF(C32&lt;'09_SETTINGS'!$I$8,"Overdue",IF(C32-'09_SETTINGS'!$I$5&lt;='09_SETTINGS'!$I$8,"Upcoming","Scheduled"))))</f>
        <v/>
      </c>
      <c r="J32" s="6"/>
    </row>
    <row r="33" spans="1:10">
      <c r="A33" s="2"/>
      <c r="B33" s="5"/>
      <c r="C33" s="5"/>
      <c r="D33" s="3"/>
      <c r="E33" s="3"/>
      <c r="F33" s="23">
        <f t="shared" si="0"/>
        <v>0</v>
      </c>
      <c r="G33" s="2"/>
      <c r="H33" s="2"/>
      <c r="I33" t="str">
        <f>IF(C33="","",IF(F33=0,"Paid",IF(C33&lt;'09_SETTINGS'!$I$8,"Overdue",IF(C33-'09_SETTINGS'!$I$5&lt;='09_SETTINGS'!$I$8,"Upcoming","Scheduled"))))</f>
        <v/>
      </c>
      <c r="J33" s="6"/>
    </row>
    <row r="34" spans="1:10">
      <c r="A34" s="2"/>
      <c r="B34" s="5"/>
      <c r="C34" s="5"/>
      <c r="D34" s="3"/>
      <c r="E34" s="3"/>
      <c r="F34" s="23">
        <f t="shared" si="0"/>
        <v>0</v>
      </c>
      <c r="G34" s="2"/>
      <c r="H34" s="2"/>
      <c r="I34" t="str">
        <f>IF(C34="","",IF(F34=0,"Paid",IF(C34&lt;'09_SETTINGS'!$I$8,"Overdue",IF(C34-'09_SETTINGS'!$I$5&lt;='09_SETTINGS'!$I$8,"Upcoming","Scheduled"))))</f>
        <v/>
      </c>
      <c r="J34" s="6"/>
    </row>
    <row r="35" spans="1:10">
      <c r="A35" s="2"/>
      <c r="B35" s="5"/>
      <c r="C35" s="5"/>
      <c r="D35" s="3"/>
      <c r="E35" s="3"/>
      <c r="F35" s="23">
        <f t="shared" si="0"/>
        <v>0</v>
      </c>
      <c r="G35" s="2"/>
      <c r="H35" s="2"/>
      <c r="I35" t="str">
        <f>IF(C35="","",IF(F35=0,"Paid",IF(C35&lt;'09_SETTINGS'!$I$8,"Overdue",IF(C35-'09_SETTINGS'!$I$5&lt;='09_SETTINGS'!$I$8,"Upcoming","Scheduled"))))</f>
        <v/>
      </c>
      <c r="J35" s="6"/>
    </row>
    <row r="36" spans="1:10">
      <c r="A36" s="2"/>
      <c r="B36" s="5"/>
      <c r="C36" s="5"/>
      <c r="D36" s="3"/>
      <c r="E36" s="3"/>
      <c r="F36" s="23">
        <f t="shared" ref="F36:F67" si="1">D36-E36</f>
        <v>0</v>
      </c>
      <c r="G36" s="2"/>
      <c r="H36" s="2"/>
      <c r="I36" t="str">
        <f>IF(C36="","",IF(F36=0,"Paid",IF(C36&lt;'09_SETTINGS'!$I$8,"Overdue",IF(C36-'09_SETTINGS'!$I$5&lt;='09_SETTINGS'!$I$8,"Upcoming","Scheduled"))))</f>
        <v/>
      </c>
      <c r="J36" s="6"/>
    </row>
    <row r="37" spans="1:10">
      <c r="A37" s="2"/>
      <c r="B37" s="5"/>
      <c r="C37" s="5"/>
      <c r="D37" s="3"/>
      <c r="E37" s="3"/>
      <c r="F37" s="23">
        <f t="shared" si="1"/>
        <v>0</v>
      </c>
      <c r="G37" s="2"/>
      <c r="H37" s="2"/>
      <c r="I37" t="str">
        <f>IF(C37="","",IF(F37=0,"Paid",IF(C37&lt;'09_SETTINGS'!$I$8,"Overdue",IF(C37-'09_SETTINGS'!$I$5&lt;='09_SETTINGS'!$I$8,"Upcoming","Scheduled"))))</f>
        <v/>
      </c>
      <c r="J37" s="6"/>
    </row>
    <row r="38" spans="1:10">
      <c r="A38" s="2"/>
      <c r="B38" s="5"/>
      <c r="C38" s="5"/>
      <c r="D38" s="3"/>
      <c r="E38" s="3"/>
      <c r="F38" s="23">
        <f t="shared" si="1"/>
        <v>0</v>
      </c>
      <c r="G38" s="2"/>
      <c r="H38" s="2"/>
      <c r="I38" t="str">
        <f>IF(C38="","",IF(F38=0,"Paid",IF(C38&lt;'09_SETTINGS'!$I$8,"Overdue",IF(C38-'09_SETTINGS'!$I$5&lt;='09_SETTINGS'!$I$8,"Upcoming","Scheduled"))))</f>
        <v/>
      </c>
      <c r="J38" s="6"/>
    </row>
    <row r="39" spans="1:10">
      <c r="A39" s="2"/>
      <c r="B39" s="5"/>
      <c r="C39" s="5"/>
      <c r="D39" s="3"/>
      <c r="E39" s="3"/>
      <c r="F39" s="23">
        <f t="shared" si="1"/>
        <v>0</v>
      </c>
      <c r="G39" s="2"/>
      <c r="H39" s="2"/>
      <c r="I39" t="str">
        <f>IF(C39="","",IF(F39=0,"Paid",IF(C39&lt;'09_SETTINGS'!$I$8,"Overdue",IF(C39-'09_SETTINGS'!$I$5&lt;='09_SETTINGS'!$I$8,"Upcoming","Scheduled"))))</f>
        <v/>
      </c>
      <c r="J39" s="6"/>
    </row>
    <row r="40" spans="1:10">
      <c r="A40" s="2"/>
      <c r="B40" s="5"/>
      <c r="C40" s="5"/>
      <c r="D40" s="3"/>
      <c r="E40" s="3"/>
      <c r="F40" s="23">
        <f t="shared" si="1"/>
        <v>0</v>
      </c>
      <c r="G40" s="2"/>
      <c r="H40" s="2"/>
      <c r="I40" t="str">
        <f>IF(C40="","",IF(F40=0,"Paid",IF(C40&lt;'09_SETTINGS'!$I$8,"Overdue",IF(C40-'09_SETTINGS'!$I$5&lt;='09_SETTINGS'!$I$8,"Upcoming","Scheduled"))))</f>
        <v/>
      </c>
      <c r="J40" s="6"/>
    </row>
    <row r="41" spans="1:10">
      <c r="A41" s="2"/>
      <c r="B41" s="5"/>
      <c r="C41" s="5"/>
      <c r="D41" s="3"/>
      <c r="E41" s="3"/>
      <c r="F41" s="23">
        <f t="shared" si="1"/>
        <v>0</v>
      </c>
      <c r="G41" s="2"/>
      <c r="H41" s="2"/>
      <c r="I41" t="str">
        <f>IF(C41="","",IF(F41=0,"Paid",IF(C41&lt;'09_SETTINGS'!$I$8,"Overdue",IF(C41-'09_SETTINGS'!$I$5&lt;='09_SETTINGS'!$I$8,"Upcoming","Scheduled"))))</f>
        <v/>
      </c>
      <c r="J41" s="6"/>
    </row>
    <row r="42" spans="1:10">
      <c r="A42" s="2"/>
      <c r="B42" s="5"/>
      <c r="C42" s="5"/>
      <c r="D42" s="3"/>
      <c r="E42" s="3"/>
      <c r="F42" s="23">
        <f t="shared" si="1"/>
        <v>0</v>
      </c>
      <c r="G42" s="2"/>
      <c r="H42" s="2"/>
      <c r="I42" t="str">
        <f>IF(C42="","",IF(F42=0,"Paid",IF(C42&lt;'09_SETTINGS'!$I$8,"Overdue",IF(C42-'09_SETTINGS'!$I$5&lt;='09_SETTINGS'!$I$8,"Upcoming","Scheduled"))))</f>
        <v/>
      </c>
      <c r="J42" s="6"/>
    </row>
    <row r="43" spans="1:10">
      <c r="A43" s="2"/>
      <c r="B43" s="5"/>
      <c r="C43" s="5"/>
      <c r="D43" s="3"/>
      <c r="E43" s="3"/>
      <c r="F43" s="23">
        <f t="shared" si="1"/>
        <v>0</v>
      </c>
      <c r="G43" s="2"/>
      <c r="H43" s="2"/>
      <c r="I43" t="str">
        <f>IF(C43="","",IF(F43=0,"Paid",IF(C43&lt;'09_SETTINGS'!$I$8,"Overdue",IF(C43-'09_SETTINGS'!$I$5&lt;='09_SETTINGS'!$I$8,"Upcoming","Scheduled"))))</f>
        <v/>
      </c>
      <c r="J43" s="6"/>
    </row>
    <row r="44" spans="1:10">
      <c r="A44" s="2"/>
      <c r="B44" s="5"/>
      <c r="C44" s="5"/>
      <c r="D44" s="3"/>
      <c r="E44" s="3"/>
      <c r="F44" s="23">
        <f t="shared" si="1"/>
        <v>0</v>
      </c>
      <c r="G44" s="2"/>
      <c r="H44" s="2"/>
      <c r="I44" t="str">
        <f>IF(C44="","",IF(F44=0,"Paid",IF(C44&lt;'09_SETTINGS'!$I$8,"Overdue",IF(C44-'09_SETTINGS'!$I$5&lt;='09_SETTINGS'!$I$8,"Upcoming","Scheduled"))))</f>
        <v/>
      </c>
      <c r="J44" s="6"/>
    </row>
    <row r="45" spans="1:10">
      <c r="A45" s="2"/>
      <c r="B45" s="5"/>
      <c r="C45" s="5"/>
      <c r="D45" s="3"/>
      <c r="E45" s="3"/>
      <c r="F45" s="23">
        <f t="shared" si="1"/>
        <v>0</v>
      </c>
      <c r="G45" s="2"/>
      <c r="H45" s="2"/>
      <c r="I45" t="str">
        <f>IF(C45="","",IF(F45=0,"Paid",IF(C45&lt;'09_SETTINGS'!$I$8,"Overdue",IF(C45-'09_SETTINGS'!$I$5&lt;='09_SETTINGS'!$I$8,"Upcoming","Scheduled"))))</f>
        <v/>
      </c>
      <c r="J45" s="6"/>
    </row>
    <row r="46" spans="1:10">
      <c r="A46" s="2"/>
      <c r="B46" s="5"/>
      <c r="C46" s="5"/>
      <c r="D46" s="3"/>
      <c r="E46" s="3"/>
      <c r="F46" s="23">
        <f t="shared" si="1"/>
        <v>0</v>
      </c>
      <c r="G46" s="2"/>
      <c r="H46" s="2"/>
      <c r="I46" t="str">
        <f>IF(C46="","",IF(F46=0,"Paid",IF(C46&lt;'09_SETTINGS'!$I$8,"Overdue",IF(C46-'09_SETTINGS'!$I$5&lt;='09_SETTINGS'!$I$8,"Upcoming","Scheduled"))))</f>
        <v/>
      </c>
      <c r="J46" s="6"/>
    </row>
    <row r="47" spans="1:10">
      <c r="A47" s="2"/>
      <c r="B47" s="5"/>
      <c r="C47" s="5"/>
      <c r="D47" s="3"/>
      <c r="E47" s="3"/>
      <c r="F47" s="23">
        <f t="shared" si="1"/>
        <v>0</v>
      </c>
      <c r="G47" s="2"/>
      <c r="H47" s="2"/>
      <c r="I47" t="str">
        <f>IF(C47="","",IF(F47=0,"Paid",IF(C47&lt;'09_SETTINGS'!$I$8,"Overdue",IF(C47-'09_SETTINGS'!$I$5&lt;='09_SETTINGS'!$I$8,"Upcoming","Scheduled"))))</f>
        <v/>
      </c>
      <c r="J47" s="6"/>
    </row>
    <row r="48" spans="1:10">
      <c r="A48" s="2"/>
      <c r="B48" s="5"/>
      <c r="C48" s="5"/>
      <c r="D48" s="3"/>
      <c r="E48" s="3"/>
      <c r="F48" s="23">
        <f t="shared" si="1"/>
        <v>0</v>
      </c>
      <c r="G48" s="2"/>
      <c r="H48" s="2"/>
      <c r="I48" t="str">
        <f>IF(C48="","",IF(F48=0,"Paid",IF(C48&lt;'09_SETTINGS'!$I$8,"Overdue",IF(C48-'09_SETTINGS'!$I$5&lt;='09_SETTINGS'!$I$8,"Upcoming","Scheduled"))))</f>
        <v/>
      </c>
      <c r="J48" s="6"/>
    </row>
    <row r="49" spans="1:10">
      <c r="A49" s="2"/>
      <c r="B49" s="5"/>
      <c r="C49" s="5"/>
      <c r="D49" s="3"/>
      <c r="E49" s="3"/>
      <c r="F49" s="23">
        <f t="shared" si="1"/>
        <v>0</v>
      </c>
      <c r="G49" s="2"/>
      <c r="H49" s="2"/>
      <c r="I49" t="str">
        <f>IF(C49="","",IF(F49=0,"Paid",IF(C49&lt;'09_SETTINGS'!$I$8,"Overdue",IF(C49-'09_SETTINGS'!$I$5&lt;='09_SETTINGS'!$I$8,"Upcoming","Scheduled"))))</f>
        <v/>
      </c>
      <c r="J49" s="6"/>
    </row>
    <row r="50" spans="1:10">
      <c r="A50" s="2"/>
      <c r="B50" s="5"/>
      <c r="C50" s="5"/>
      <c r="D50" s="3"/>
      <c r="E50" s="3"/>
      <c r="F50" s="23">
        <f t="shared" si="1"/>
        <v>0</v>
      </c>
      <c r="G50" s="2"/>
      <c r="H50" s="2"/>
      <c r="I50" t="str">
        <f>IF(C50="","",IF(F50=0,"Paid",IF(C50&lt;'09_SETTINGS'!$I$8,"Overdue",IF(C50-'09_SETTINGS'!$I$5&lt;='09_SETTINGS'!$I$8,"Upcoming","Scheduled"))))</f>
        <v/>
      </c>
      <c r="J50" s="6"/>
    </row>
    <row r="51" spans="1:10">
      <c r="A51" s="2"/>
      <c r="B51" s="5"/>
      <c r="C51" s="5"/>
      <c r="D51" s="3"/>
      <c r="E51" s="3"/>
      <c r="F51" s="23">
        <f t="shared" si="1"/>
        <v>0</v>
      </c>
      <c r="G51" s="2"/>
      <c r="H51" s="2"/>
      <c r="I51" t="str">
        <f>IF(C51="","",IF(F51=0,"Paid",IF(C51&lt;'09_SETTINGS'!$I$8,"Overdue",IF(C51-'09_SETTINGS'!$I$5&lt;='09_SETTINGS'!$I$8,"Upcoming","Scheduled"))))</f>
        <v/>
      </c>
      <c r="J51" s="6"/>
    </row>
    <row r="52" spans="1:10">
      <c r="A52" s="2"/>
      <c r="B52" s="5"/>
      <c r="C52" s="5"/>
      <c r="D52" s="3"/>
      <c r="E52" s="3"/>
      <c r="F52" s="23">
        <f t="shared" si="1"/>
        <v>0</v>
      </c>
      <c r="G52" s="2"/>
      <c r="H52" s="2"/>
      <c r="I52" t="str">
        <f>IF(C52="","",IF(F52=0,"Paid",IF(C52&lt;'09_SETTINGS'!$I$8,"Overdue",IF(C52-'09_SETTINGS'!$I$5&lt;='09_SETTINGS'!$I$8,"Upcoming","Scheduled"))))</f>
        <v/>
      </c>
      <c r="J52" s="6"/>
    </row>
    <row r="53" spans="1:10">
      <c r="A53" s="2"/>
      <c r="B53" s="5"/>
      <c r="C53" s="5"/>
      <c r="D53" s="3"/>
      <c r="E53" s="3"/>
      <c r="F53" s="23">
        <f t="shared" si="1"/>
        <v>0</v>
      </c>
      <c r="G53" s="2"/>
      <c r="H53" s="2"/>
      <c r="I53" t="str">
        <f>IF(C53="","",IF(F53=0,"Paid",IF(C53&lt;'09_SETTINGS'!$I$8,"Overdue",IF(C53-'09_SETTINGS'!$I$5&lt;='09_SETTINGS'!$I$8,"Upcoming","Scheduled"))))</f>
        <v/>
      </c>
      <c r="J53" s="6"/>
    </row>
    <row r="54" spans="1:10">
      <c r="A54" s="2"/>
      <c r="B54" s="5"/>
      <c r="C54" s="5"/>
      <c r="D54" s="3"/>
      <c r="E54" s="3"/>
      <c r="F54" s="23">
        <f t="shared" si="1"/>
        <v>0</v>
      </c>
      <c r="G54" s="2"/>
      <c r="H54" s="2"/>
      <c r="I54" t="str">
        <f>IF(C54="","",IF(F54=0,"Paid",IF(C54&lt;'09_SETTINGS'!$I$8,"Overdue",IF(C54-'09_SETTINGS'!$I$5&lt;='09_SETTINGS'!$I$8,"Upcoming","Scheduled"))))</f>
        <v/>
      </c>
      <c r="J54" s="6"/>
    </row>
    <row r="55" spans="1:10">
      <c r="A55" s="2"/>
      <c r="B55" s="5"/>
      <c r="C55" s="5"/>
      <c r="D55" s="3"/>
      <c r="E55" s="3"/>
      <c r="F55" s="23">
        <f t="shared" si="1"/>
        <v>0</v>
      </c>
      <c r="G55" s="2"/>
      <c r="H55" s="2"/>
      <c r="I55" t="str">
        <f>IF(C55="","",IF(F55=0,"Paid",IF(C55&lt;'09_SETTINGS'!$I$8,"Overdue",IF(C55-'09_SETTINGS'!$I$5&lt;='09_SETTINGS'!$I$8,"Upcoming","Scheduled"))))</f>
        <v/>
      </c>
      <c r="J55" s="6"/>
    </row>
    <row r="56" spans="1:10">
      <c r="A56" s="2"/>
      <c r="B56" s="5"/>
      <c r="C56" s="5"/>
      <c r="D56" s="3"/>
      <c r="E56" s="3"/>
      <c r="F56" s="23">
        <f t="shared" si="1"/>
        <v>0</v>
      </c>
      <c r="G56" s="2"/>
      <c r="H56" s="2"/>
      <c r="I56" t="str">
        <f>IF(C56="","",IF(F56=0,"Paid",IF(C56&lt;'09_SETTINGS'!$I$8,"Overdue",IF(C56-'09_SETTINGS'!$I$5&lt;='09_SETTINGS'!$I$8,"Upcoming","Scheduled"))))</f>
        <v/>
      </c>
      <c r="J56" s="6"/>
    </row>
    <row r="57" spans="1:10">
      <c r="A57" s="2"/>
      <c r="B57" s="5"/>
      <c r="C57" s="5"/>
      <c r="D57" s="3"/>
      <c r="E57" s="3"/>
      <c r="F57" s="23">
        <f t="shared" si="1"/>
        <v>0</v>
      </c>
      <c r="G57" s="2"/>
      <c r="H57" s="2"/>
      <c r="I57" t="str">
        <f>IF(C57="","",IF(F57=0,"Paid",IF(C57&lt;'09_SETTINGS'!$I$8,"Overdue",IF(C57-'09_SETTINGS'!$I$5&lt;='09_SETTINGS'!$I$8,"Upcoming","Scheduled"))))</f>
        <v/>
      </c>
      <c r="J57" s="6"/>
    </row>
    <row r="58" spans="1:10">
      <c r="A58" s="2"/>
      <c r="B58" s="5"/>
      <c r="C58" s="5"/>
      <c r="D58" s="3"/>
      <c r="E58" s="3"/>
      <c r="F58" s="23">
        <f t="shared" si="1"/>
        <v>0</v>
      </c>
      <c r="G58" s="2"/>
      <c r="H58" s="2"/>
      <c r="I58" t="str">
        <f>IF(C58="","",IF(F58=0,"Paid",IF(C58&lt;'09_SETTINGS'!$I$8,"Overdue",IF(C58-'09_SETTINGS'!$I$5&lt;='09_SETTINGS'!$I$8,"Upcoming","Scheduled"))))</f>
        <v/>
      </c>
      <c r="J58" s="6"/>
    </row>
    <row r="59" spans="1:10">
      <c r="A59" s="2"/>
      <c r="B59" s="5"/>
      <c r="C59" s="5"/>
      <c r="D59" s="3"/>
      <c r="E59" s="3"/>
      <c r="F59" s="23">
        <f t="shared" si="1"/>
        <v>0</v>
      </c>
      <c r="G59" s="2"/>
      <c r="H59" s="2"/>
      <c r="I59" t="str">
        <f>IF(C59="","",IF(F59=0,"Paid",IF(C59&lt;'09_SETTINGS'!$I$8,"Overdue",IF(C59-'09_SETTINGS'!$I$5&lt;='09_SETTINGS'!$I$8,"Upcoming","Scheduled"))))</f>
        <v/>
      </c>
      <c r="J59" s="6"/>
    </row>
    <row r="60" spans="1:10">
      <c r="A60" s="2"/>
      <c r="B60" s="5"/>
      <c r="C60" s="5"/>
      <c r="D60" s="3"/>
      <c r="E60" s="3"/>
      <c r="F60" s="23">
        <f t="shared" si="1"/>
        <v>0</v>
      </c>
      <c r="G60" s="2"/>
      <c r="H60" s="2"/>
      <c r="I60" t="str">
        <f>IF(C60="","",IF(F60=0,"Paid",IF(C60&lt;'09_SETTINGS'!$I$8,"Overdue",IF(C60-'09_SETTINGS'!$I$5&lt;='09_SETTINGS'!$I$8,"Upcoming","Scheduled"))))</f>
        <v/>
      </c>
      <c r="J60" s="6"/>
    </row>
    <row r="61" spans="1:10">
      <c r="A61" s="2"/>
      <c r="B61" s="5"/>
      <c r="C61" s="5"/>
      <c r="D61" s="3"/>
      <c r="E61" s="3"/>
      <c r="F61" s="23">
        <f t="shared" si="1"/>
        <v>0</v>
      </c>
      <c r="G61" s="2"/>
      <c r="H61" s="2"/>
      <c r="I61" t="str">
        <f>IF(C61="","",IF(F61=0,"Paid",IF(C61&lt;'09_SETTINGS'!$I$8,"Overdue",IF(C61-'09_SETTINGS'!$I$5&lt;='09_SETTINGS'!$I$8,"Upcoming","Scheduled"))))</f>
        <v/>
      </c>
      <c r="J61" s="6"/>
    </row>
    <row r="62" spans="1:10">
      <c r="A62" s="2"/>
      <c r="B62" s="5"/>
      <c r="C62" s="5"/>
      <c r="D62" s="3"/>
      <c r="E62" s="3"/>
      <c r="F62" s="23">
        <f t="shared" si="1"/>
        <v>0</v>
      </c>
      <c r="G62" s="2"/>
      <c r="H62" s="2"/>
      <c r="I62" t="str">
        <f>IF(C62="","",IF(F62=0,"Paid",IF(C62&lt;'09_SETTINGS'!$I$8,"Overdue",IF(C62-'09_SETTINGS'!$I$5&lt;='09_SETTINGS'!$I$8,"Upcoming","Scheduled"))))</f>
        <v/>
      </c>
      <c r="J62" s="6"/>
    </row>
    <row r="63" spans="1:10">
      <c r="A63" s="2"/>
      <c r="B63" s="5"/>
      <c r="C63" s="5"/>
      <c r="D63" s="3"/>
      <c r="E63" s="3"/>
      <c r="F63" s="23">
        <f t="shared" si="1"/>
        <v>0</v>
      </c>
      <c r="G63" s="2"/>
      <c r="H63" s="2"/>
      <c r="I63" t="str">
        <f>IF(C63="","",IF(F63=0,"Paid",IF(C63&lt;'09_SETTINGS'!$I$8,"Overdue",IF(C63-'09_SETTINGS'!$I$5&lt;='09_SETTINGS'!$I$8,"Upcoming","Scheduled"))))</f>
        <v/>
      </c>
      <c r="J63" s="6"/>
    </row>
    <row r="64" spans="1:10">
      <c r="A64" s="2"/>
      <c r="B64" s="5"/>
      <c r="C64" s="5"/>
      <c r="D64" s="3"/>
      <c r="E64" s="3"/>
      <c r="F64" s="23">
        <f t="shared" si="1"/>
        <v>0</v>
      </c>
      <c r="G64" s="2"/>
      <c r="H64" s="2"/>
      <c r="I64" t="str">
        <f>IF(C64="","",IF(F64=0,"Paid",IF(C64&lt;'09_SETTINGS'!$I$8,"Overdue",IF(C64-'09_SETTINGS'!$I$5&lt;='09_SETTINGS'!$I$8,"Upcoming","Scheduled"))))</f>
        <v/>
      </c>
      <c r="J64" s="6"/>
    </row>
    <row r="65" spans="1:10">
      <c r="A65" s="2"/>
      <c r="B65" s="5"/>
      <c r="C65" s="5"/>
      <c r="D65" s="3"/>
      <c r="E65" s="3"/>
      <c r="F65" s="23">
        <f t="shared" si="1"/>
        <v>0</v>
      </c>
      <c r="G65" s="2"/>
      <c r="H65" s="2"/>
      <c r="I65" t="str">
        <f>IF(C65="","",IF(F65=0,"Paid",IF(C65&lt;'09_SETTINGS'!$I$8,"Overdue",IF(C65-'09_SETTINGS'!$I$5&lt;='09_SETTINGS'!$I$8,"Upcoming","Scheduled"))))</f>
        <v/>
      </c>
      <c r="J65" s="6"/>
    </row>
    <row r="66" spans="1:10">
      <c r="A66" s="2"/>
      <c r="B66" s="5"/>
      <c r="C66" s="5"/>
      <c r="D66" s="3"/>
      <c r="E66" s="3"/>
      <c r="F66" s="23">
        <f t="shared" si="1"/>
        <v>0</v>
      </c>
      <c r="G66" s="2"/>
      <c r="H66" s="2"/>
      <c r="I66" t="str">
        <f>IF(C66="","",IF(F66=0,"Paid",IF(C66&lt;'09_SETTINGS'!$I$8,"Overdue",IF(C66-'09_SETTINGS'!$I$5&lt;='09_SETTINGS'!$I$8,"Upcoming","Scheduled"))))</f>
        <v/>
      </c>
      <c r="J66" s="6"/>
    </row>
    <row r="67" spans="1:10">
      <c r="A67" s="2"/>
      <c r="B67" s="5"/>
      <c r="C67" s="5"/>
      <c r="D67" s="3"/>
      <c r="E67" s="3"/>
      <c r="F67" s="23">
        <f t="shared" si="1"/>
        <v>0</v>
      </c>
      <c r="G67" s="2"/>
      <c r="H67" s="2"/>
      <c r="I67" t="str">
        <f>IF(C67="","",IF(F67=0,"Paid",IF(C67&lt;'09_SETTINGS'!$I$8,"Overdue",IF(C67-'09_SETTINGS'!$I$5&lt;='09_SETTINGS'!$I$8,"Upcoming","Scheduled"))))</f>
        <v/>
      </c>
      <c r="J67" s="6"/>
    </row>
    <row r="68" spans="1:10">
      <c r="A68" s="2"/>
      <c r="B68" s="5"/>
      <c r="C68" s="5"/>
      <c r="D68" s="3"/>
      <c r="E68" s="3"/>
      <c r="F68" s="23">
        <f t="shared" ref="F68:F99" si="2">D68-E68</f>
        <v>0</v>
      </c>
      <c r="G68" s="2"/>
      <c r="H68" s="2"/>
      <c r="I68" t="str">
        <f>IF(C68="","",IF(F68=0,"Paid",IF(C68&lt;'09_SETTINGS'!$I$8,"Overdue",IF(C68-'09_SETTINGS'!$I$5&lt;='09_SETTINGS'!$I$8,"Upcoming","Scheduled"))))</f>
        <v/>
      </c>
      <c r="J68" s="6"/>
    </row>
    <row r="69" spans="1:10">
      <c r="A69" s="2"/>
      <c r="B69" s="5"/>
      <c r="C69" s="5"/>
      <c r="D69" s="3"/>
      <c r="E69" s="3"/>
      <c r="F69" s="23">
        <f t="shared" si="2"/>
        <v>0</v>
      </c>
      <c r="G69" s="2"/>
      <c r="H69" s="2"/>
      <c r="I69" t="str">
        <f>IF(C69="","",IF(F69=0,"Paid",IF(C69&lt;'09_SETTINGS'!$I$8,"Overdue",IF(C69-'09_SETTINGS'!$I$5&lt;='09_SETTINGS'!$I$8,"Upcoming","Scheduled"))))</f>
        <v/>
      </c>
      <c r="J69" s="6"/>
    </row>
    <row r="70" spans="1:10">
      <c r="A70" s="2"/>
      <c r="B70" s="5"/>
      <c r="C70" s="5"/>
      <c r="D70" s="3"/>
      <c r="E70" s="3"/>
      <c r="F70" s="23">
        <f t="shared" si="2"/>
        <v>0</v>
      </c>
      <c r="G70" s="2"/>
      <c r="H70" s="2"/>
      <c r="I70" t="str">
        <f>IF(C70="","",IF(F70=0,"Paid",IF(C70&lt;'09_SETTINGS'!$I$8,"Overdue",IF(C70-'09_SETTINGS'!$I$5&lt;='09_SETTINGS'!$I$8,"Upcoming","Scheduled"))))</f>
        <v/>
      </c>
      <c r="J70" s="6"/>
    </row>
    <row r="71" spans="1:10">
      <c r="A71" s="2"/>
      <c r="B71" s="5"/>
      <c r="C71" s="5"/>
      <c r="D71" s="3"/>
      <c r="E71" s="3"/>
      <c r="F71" s="23">
        <f t="shared" si="2"/>
        <v>0</v>
      </c>
      <c r="G71" s="2"/>
      <c r="H71" s="2"/>
      <c r="I71" t="str">
        <f>IF(C71="","",IF(F71=0,"Paid",IF(C71&lt;'09_SETTINGS'!$I$8,"Overdue",IF(C71-'09_SETTINGS'!$I$5&lt;='09_SETTINGS'!$I$8,"Upcoming","Scheduled"))))</f>
        <v/>
      </c>
      <c r="J71" s="6"/>
    </row>
    <row r="72" spans="1:10">
      <c r="A72" s="2"/>
      <c r="B72" s="5"/>
      <c r="C72" s="5"/>
      <c r="D72" s="3"/>
      <c r="E72" s="3"/>
      <c r="F72" s="23">
        <f t="shared" si="2"/>
        <v>0</v>
      </c>
      <c r="G72" s="2"/>
      <c r="H72" s="2"/>
      <c r="I72" t="str">
        <f>IF(C72="","",IF(F72=0,"Paid",IF(C72&lt;'09_SETTINGS'!$I$8,"Overdue",IF(C72-'09_SETTINGS'!$I$5&lt;='09_SETTINGS'!$I$8,"Upcoming","Scheduled"))))</f>
        <v/>
      </c>
      <c r="J72" s="6"/>
    </row>
    <row r="73" spans="1:10">
      <c r="A73" s="2"/>
      <c r="B73" s="5"/>
      <c r="C73" s="5"/>
      <c r="D73" s="3"/>
      <c r="E73" s="3"/>
      <c r="F73" s="23">
        <f t="shared" si="2"/>
        <v>0</v>
      </c>
      <c r="G73" s="2"/>
      <c r="H73" s="2"/>
      <c r="I73" t="str">
        <f>IF(C73="","",IF(F73=0,"Paid",IF(C73&lt;'09_SETTINGS'!$I$8,"Overdue",IF(C73-'09_SETTINGS'!$I$5&lt;='09_SETTINGS'!$I$8,"Upcoming","Scheduled"))))</f>
        <v/>
      </c>
      <c r="J73" s="6"/>
    </row>
    <row r="74" spans="1:10">
      <c r="A74" s="2"/>
      <c r="B74" s="5"/>
      <c r="C74" s="5"/>
      <c r="D74" s="3"/>
      <c r="E74" s="3"/>
      <c r="F74" s="23">
        <f t="shared" si="2"/>
        <v>0</v>
      </c>
      <c r="G74" s="2"/>
      <c r="H74" s="2"/>
      <c r="I74" t="str">
        <f>IF(C74="","",IF(F74=0,"Paid",IF(C74&lt;'09_SETTINGS'!$I$8,"Overdue",IF(C74-'09_SETTINGS'!$I$5&lt;='09_SETTINGS'!$I$8,"Upcoming","Scheduled"))))</f>
        <v/>
      </c>
      <c r="J74" s="6"/>
    </row>
    <row r="75" spans="1:10">
      <c r="A75" s="2"/>
      <c r="B75" s="5"/>
      <c r="C75" s="5"/>
      <c r="D75" s="3"/>
      <c r="E75" s="3"/>
      <c r="F75" s="23">
        <f t="shared" si="2"/>
        <v>0</v>
      </c>
      <c r="G75" s="2"/>
      <c r="H75" s="2"/>
      <c r="I75" t="str">
        <f>IF(C75="","",IF(F75=0,"Paid",IF(C75&lt;'09_SETTINGS'!$I$8,"Overdue",IF(C75-'09_SETTINGS'!$I$5&lt;='09_SETTINGS'!$I$8,"Upcoming","Scheduled"))))</f>
        <v/>
      </c>
      <c r="J75" s="6"/>
    </row>
    <row r="76" spans="1:10">
      <c r="A76" s="2"/>
      <c r="B76" s="5"/>
      <c r="C76" s="5"/>
      <c r="D76" s="3"/>
      <c r="E76" s="3"/>
      <c r="F76" s="23">
        <f t="shared" si="2"/>
        <v>0</v>
      </c>
      <c r="G76" s="2"/>
      <c r="H76" s="2"/>
      <c r="I76" t="str">
        <f>IF(C76="","",IF(F76=0,"Paid",IF(C76&lt;'09_SETTINGS'!$I$8,"Overdue",IF(C76-'09_SETTINGS'!$I$5&lt;='09_SETTINGS'!$I$8,"Upcoming","Scheduled"))))</f>
        <v/>
      </c>
      <c r="J76" s="6"/>
    </row>
    <row r="77" spans="1:10">
      <c r="A77" s="2"/>
      <c r="B77" s="5"/>
      <c r="C77" s="5"/>
      <c r="D77" s="3"/>
      <c r="E77" s="3"/>
      <c r="F77" s="23">
        <f t="shared" si="2"/>
        <v>0</v>
      </c>
      <c r="G77" s="2"/>
      <c r="H77" s="2"/>
      <c r="I77" t="str">
        <f>IF(C77="","",IF(F77=0,"Paid",IF(C77&lt;'09_SETTINGS'!$I$8,"Overdue",IF(C77-'09_SETTINGS'!$I$5&lt;='09_SETTINGS'!$I$8,"Upcoming","Scheduled"))))</f>
        <v/>
      </c>
      <c r="J77" s="6"/>
    </row>
    <row r="78" spans="1:10">
      <c r="A78" s="2"/>
      <c r="B78" s="5"/>
      <c r="C78" s="5"/>
      <c r="D78" s="3"/>
      <c r="E78" s="3"/>
      <c r="F78" s="23">
        <f t="shared" si="2"/>
        <v>0</v>
      </c>
      <c r="G78" s="2"/>
      <c r="H78" s="2"/>
      <c r="I78" t="str">
        <f>IF(C78="","",IF(F78=0,"Paid",IF(C78&lt;'09_SETTINGS'!$I$8,"Overdue",IF(C78-'09_SETTINGS'!$I$5&lt;='09_SETTINGS'!$I$8,"Upcoming","Scheduled"))))</f>
        <v/>
      </c>
      <c r="J78" s="6"/>
    </row>
    <row r="79" spans="1:10">
      <c r="A79" s="2"/>
      <c r="B79" s="5"/>
      <c r="C79" s="5"/>
      <c r="D79" s="3"/>
      <c r="E79" s="3"/>
      <c r="F79" s="23">
        <f t="shared" si="2"/>
        <v>0</v>
      </c>
      <c r="G79" s="2"/>
      <c r="H79" s="2"/>
      <c r="I79" t="str">
        <f>IF(C79="","",IF(F79=0,"Paid",IF(C79&lt;'09_SETTINGS'!$I$8,"Overdue",IF(C79-'09_SETTINGS'!$I$5&lt;='09_SETTINGS'!$I$8,"Upcoming","Scheduled"))))</f>
        <v/>
      </c>
      <c r="J79" s="6"/>
    </row>
    <row r="80" spans="1:10">
      <c r="A80" s="2"/>
      <c r="B80" s="5"/>
      <c r="C80" s="5"/>
      <c r="D80" s="3"/>
      <c r="E80" s="3"/>
      <c r="F80" s="23">
        <f t="shared" si="2"/>
        <v>0</v>
      </c>
      <c r="G80" s="2"/>
      <c r="H80" s="2"/>
      <c r="I80" t="str">
        <f>IF(C80="","",IF(F80=0,"Paid",IF(C80&lt;'09_SETTINGS'!$I$8,"Overdue",IF(C80-'09_SETTINGS'!$I$5&lt;='09_SETTINGS'!$I$8,"Upcoming","Scheduled"))))</f>
        <v/>
      </c>
      <c r="J80" s="6"/>
    </row>
    <row r="81" spans="1:10">
      <c r="A81" s="2"/>
      <c r="B81" s="5"/>
      <c r="C81" s="5"/>
      <c r="D81" s="3"/>
      <c r="E81" s="3"/>
      <c r="F81" s="23">
        <f t="shared" si="2"/>
        <v>0</v>
      </c>
      <c r="G81" s="2"/>
      <c r="H81" s="2"/>
      <c r="I81" t="str">
        <f>IF(C81="","",IF(F81=0,"Paid",IF(C81&lt;'09_SETTINGS'!$I$8,"Overdue",IF(C81-'09_SETTINGS'!$I$5&lt;='09_SETTINGS'!$I$8,"Upcoming","Scheduled"))))</f>
        <v/>
      </c>
      <c r="J81" s="6"/>
    </row>
    <row r="82" spans="1:10">
      <c r="A82" s="2"/>
      <c r="B82" s="5"/>
      <c r="C82" s="5"/>
      <c r="D82" s="3"/>
      <c r="E82" s="3"/>
      <c r="F82" s="23">
        <f t="shared" si="2"/>
        <v>0</v>
      </c>
      <c r="G82" s="2"/>
      <c r="H82" s="2"/>
      <c r="I82" t="str">
        <f>IF(C82="","",IF(F82=0,"Paid",IF(C82&lt;'09_SETTINGS'!$I$8,"Overdue",IF(C82-'09_SETTINGS'!$I$5&lt;='09_SETTINGS'!$I$8,"Upcoming","Scheduled"))))</f>
        <v/>
      </c>
      <c r="J82" s="6"/>
    </row>
    <row r="83" spans="1:10">
      <c r="A83" s="2"/>
      <c r="B83" s="5"/>
      <c r="C83" s="5"/>
      <c r="D83" s="3"/>
      <c r="E83" s="3"/>
      <c r="F83" s="23">
        <f t="shared" si="2"/>
        <v>0</v>
      </c>
      <c r="G83" s="2"/>
      <c r="H83" s="2"/>
      <c r="I83" t="str">
        <f>IF(C83="","",IF(F83=0,"Paid",IF(C83&lt;'09_SETTINGS'!$I$8,"Overdue",IF(C83-'09_SETTINGS'!$I$5&lt;='09_SETTINGS'!$I$8,"Upcoming","Scheduled"))))</f>
        <v/>
      </c>
      <c r="J83" s="6"/>
    </row>
    <row r="84" spans="1:10">
      <c r="A84" s="2"/>
      <c r="B84" s="5"/>
      <c r="C84" s="5"/>
      <c r="D84" s="3"/>
      <c r="E84" s="3"/>
      <c r="F84" s="23">
        <f t="shared" si="2"/>
        <v>0</v>
      </c>
      <c r="G84" s="2"/>
      <c r="H84" s="2"/>
      <c r="I84" t="str">
        <f>IF(C84="","",IF(F84=0,"Paid",IF(C84&lt;'09_SETTINGS'!$I$8,"Overdue",IF(C84-'09_SETTINGS'!$I$5&lt;='09_SETTINGS'!$I$8,"Upcoming","Scheduled"))))</f>
        <v/>
      </c>
      <c r="J84" s="6"/>
    </row>
    <row r="85" spans="1:10">
      <c r="A85" s="2"/>
      <c r="B85" s="5"/>
      <c r="C85" s="5"/>
      <c r="D85" s="3"/>
      <c r="E85" s="3"/>
      <c r="F85" s="23">
        <f t="shared" si="2"/>
        <v>0</v>
      </c>
      <c r="G85" s="2"/>
      <c r="H85" s="2"/>
      <c r="I85" t="str">
        <f>IF(C85="","",IF(F85=0,"Paid",IF(C85&lt;'09_SETTINGS'!$I$8,"Overdue",IF(C85-'09_SETTINGS'!$I$5&lt;='09_SETTINGS'!$I$8,"Upcoming","Scheduled"))))</f>
        <v/>
      </c>
      <c r="J85" s="6"/>
    </row>
    <row r="86" spans="1:10">
      <c r="A86" s="2"/>
      <c r="B86" s="5"/>
      <c r="C86" s="5"/>
      <c r="D86" s="3"/>
      <c r="E86" s="3"/>
      <c r="F86" s="23">
        <f t="shared" si="2"/>
        <v>0</v>
      </c>
      <c r="G86" s="2"/>
      <c r="H86" s="2"/>
      <c r="I86" t="str">
        <f>IF(C86="","",IF(F86=0,"Paid",IF(C86&lt;'09_SETTINGS'!$I$8,"Overdue",IF(C86-'09_SETTINGS'!$I$5&lt;='09_SETTINGS'!$I$8,"Upcoming","Scheduled"))))</f>
        <v/>
      </c>
      <c r="J86" s="6"/>
    </row>
    <row r="87" spans="1:10">
      <c r="A87" s="2"/>
      <c r="B87" s="5"/>
      <c r="C87" s="5"/>
      <c r="D87" s="3"/>
      <c r="E87" s="3"/>
      <c r="F87" s="23">
        <f t="shared" si="2"/>
        <v>0</v>
      </c>
      <c r="G87" s="2"/>
      <c r="H87" s="2"/>
      <c r="I87" t="str">
        <f>IF(C87="","",IF(F87=0,"Paid",IF(C87&lt;'09_SETTINGS'!$I$8,"Overdue",IF(C87-'09_SETTINGS'!$I$5&lt;='09_SETTINGS'!$I$8,"Upcoming","Scheduled"))))</f>
        <v/>
      </c>
      <c r="J87" s="6"/>
    </row>
    <row r="88" spans="1:10">
      <c r="A88" s="2"/>
      <c r="B88" s="5"/>
      <c r="C88" s="5"/>
      <c r="D88" s="3"/>
      <c r="E88" s="3"/>
      <c r="F88" s="23">
        <f t="shared" si="2"/>
        <v>0</v>
      </c>
      <c r="G88" s="2"/>
      <c r="H88" s="2"/>
      <c r="I88" t="str">
        <f>IF(C88="","",IF(F88=0,"Paid",IF(C88&lt;'09_SETTINGS'!$I$8,"Overdue",IF(C88-'09_SETTINGS'!$I$5&lt;='09_SETTINGS'!$I$8,"Upcoming","Scheduled"))))</f>
        <v/>
      </c>
      <c r="J88" s="6"/>
    </row>
    <row r="89" spans="1:10">
      <c r="A89" s="2"/>
      <c r="B89" s="5"/>
      <c r="C89" s="5"/>
      <c r="D89" s="3"/>
      <c r="E89" s="3"/>
      <c r="F89" s="23">
        <f t="shared" si="2"/>
        <v>0</v>
      </c>
      <c r="G89" s="2"/>
      <c r="H89" s="2"/>
      <c r="I89" t="str">
        <f>IF(C89="","",IF(F89=0,"Paid",IF(C89&lt;'09_SETTINGS'!$I$8,"Overdue",IF(C89-'09_SETTINGS'!$I$5&lt;='09_SETTINGS'!$I$8,"Upcoming","Scheduled"))))</f>
        <v/>
      </c>
      <c r="J89" s="6"/>
    </row>
    <row r="90" spans="1:10">
      <c r="A90" s="2"/>
      <c r="B90" s="5"/>
      <c r="C90" s="5"/>
      <c r="D90" s="3"/>
      <c r="E90" s="3"/>
      <c r="F90" s="23">
        <f t="shared" si="2"/>
        <v>0</v>
      </c>
      <c r="G90" s="2"/>
      <c r="H90" s="2"/>
      <c r="I90" t="str">
        <f>IF(C90="","",IF(F90=0,"Paid",IF(C90&lt;'09_SETTINGS'!$I$8,"Overdue",IF(C90-'09_SETTINGS'!$I$5&lt;='09_SETTINGS'!$I$8,"Upcoming","Scheduled"))))</f>
        <v/>
      </c>
      <c r="J90" s="6"/>
    </row>
    <row r="91" spans="1:10">
      <c r="A91" s="2"/>
      <c r="B91" s="5"/>
      <c r="C91" s="5"/>
      <c r="D91" s="3"/>
      <c r="E91" s="3"/>
      <c r="F91" s="23">
        <f t="shared" si="2"/>
        <v>0</v>
      </c>
      <c r="G91" s="2"/>
      <c r="H91" s="2"/>
      <c r="I91" t="str">
        <f>IF(C91="","",IF(F91=0,"Paid",IF(C91&lt;'09_SETTINGS'!$I$8,"Overdue",IF(C91-'09_SETTINGS'!$I$5&lt;='09_SETTINGS'!$I$8,"Upcoming","Scheduled"))))</f>
        <v/>
      </c>
      <c r="J91" s="6"/>
    </row>
    <row r="92" spans="1:10">
      <c r="A92" s="2"/>
      <c r="B92" s="5"/>
      <c r="C92" s="5"/>
      <c r="D92" s="3"/>
      <c r="E92" s="3"/>
      <c r="F92" s="23">
        <f t="shared" si="2"/>
        <v>0</v>
      </c>
      <c r="G92" s="2"/>
      <c r="H92" s="2"/>
      <c r="I92" t="str">
        <f>IF(C92="","",IF(F92=0,"Paid",IF(C92&lt;'09_SETTINGS'!$I$8,"Overdue",IF(C92-'09_SETTINGS'!$I$5&lt;='09_SETTINGS'!$I$8,"Upcoming","Scheduled"))))</f>
        <v/>
      </c>
      <c r="J92" s="6"/>
    </row>
    <row r="93" spans="1:10">
      <c r="A93" s="2"/>
      <c r="B93" s="5"/>
      <c r="C93" s="5"/>
      <c r="D93" s="3"/>
      <c r="E93" s="3"/>
      <c r="F93" s="23">
        <f t="shared" si="2"/>
        <v>0</v>
      </c>
      <c r="G93" s="2"/>
      <c r="H93" s="2"/>
      <c r="I93" t="str">
        <f>IF(C93="","",IF(F93=0,"Paid",IF(C93&lt;'09_SETTINGS'!$I$8,"Overdue",IF(C93-'09_SETTINGS'!$I$5&lt;='09_SETTINGS'!$I$8,"Upcoming","Scheduled"))))</f>
        <v/>
      </c>
      <c r="J93" s="6"/>
    </row>
    <row r="94" spans="1:10">
      <c r="A94" s="2"/>
      <c r="B94" s="5"/>
      <c r="C94" s="5"/>
      <c r="D94" s="3"/>
      <c r="E94" s="3"/>
      <c r="F94" s="23">
        <f t="shared" si="2"/>
        <v>0</v>
      </c>
      <c r="G94" s="2"/>
      <c r="H94" s="2"/>
      <c r="I94" t="str">
        <f>IF(C94="","",IF(F94=0,"Paid",IF(C94&lt;'09_SETTINGS'!$I$8,"Overdue",IF(C94-'09_SETTINGS'!$I$5&lt;='09_SETTINGS'!$I$8,"Upcoming","Scheduled"))))</f>
        <v/>
      </c>
      <c r="J94" s="6"/>
    </row>
    <row r="95" spans="1:10">
      <c r="A95" s="2"/>
      <c r="B95" s="5"/>
      <c r="C95" s="5"/>
      <c r="D95" s="3"/>
      <c r="E95" s="3"/>
      <c r="F95" s="23">
        <f t="shared" si="2"/>
        <v>0</v>
      </c>
      <c r="G95" s="2"/>
      <c r="H95" s="2"/>
      <c r="I95" t="str">
        <f>IF(C95="","",IF(F95=0,"Paid",IF(C95&lt;'09_SETTINGS'!$I$8,"Overdue",IF(C95-'09_SETTINGS'!$I$5&lt;='09_SETTINGS'!$I$8,"Upcoming","Scheduled"))))</f>
        <v/>
      </c>
      <c r="J95" s="6"/>
    </row>
    <row r="96" spans="1:10">
      <c r="A96" s="2"/>
      <c r="B96" s="5"/>
      <c r="C96" s="5"/>
      <c r="D96" s="3"/>
      <c r="E96" s="3"/>
      <c r="F96" s="23">
        <f t="shared" si="2"/>
        <v>0</v>
      </c>
      <c r="G96" s="2"/>
      <c r="H96" s="2"/>
      <c r="I96" t="str">
        <f>IF(C96="","",IF(F96=0,"Paid",IF(C96&lt;'09_SETTINGS'!$I$8,"Overdue",IF(C96-'09_SETTINGS'!$I$5&lt;='09_SETTINGS'!$I$8,"Upcoming","Scheduled"))))</f>
        <v/>
      </c>
      <c r="J96" s="6"/>
    </row>
    <row r="97" spans="1:10">
      <c r="A97" s="2"/>
      <c r="B97" s="5"/>
      <c r="C97" s="5"/>
      <c r="D97" s="3"/>
      <c r="E97" s="3"/>
      <c r="F97" s="23">
        <f t="shared" si="2"/>
        <v>0</v>
      </c>
      <c r="G97" s="2"/>
      <c r="H97" s="2"/>
      <c r="I97" t="str">
        <f>IF(C97="","",IF(F97=0,"Paid",IF(C97&lt;'09_SETTINGS'!$I$8,"Overdue",IF(C97-'09_SETTINGS'!$I$5&lt;='09_SETTINGS'!$I$8,"Upcoming","Scheduled"))))</f>
        <v/>
      </c>
      <c r="J97" s="6"/>
    </row>
    <row r="98" spans="1:10">
      <c r="A98" s="2"/>
      <c r="B98" s="5"/>
      <c r="C98" s="5"/>
      <c r="D98" s="3"/>
      <c r="E98" s="3"/>
      <c r="F98" s="23">
        <f t="shared" si="2"/>
        <v>0</v>
      </c>
      <c r="G98" s="2"/>
      <c r="H98" s="2"/>
      <c r="I98" t="str">
        <f>IF(C98="","",IF(F98=0,"Paid",IF(C98&lt;'09_SETTINGS'!$I$8,"Overdue",IF(C98-'09_SETTINGS'!$I$5&lt;='09_SETTINGS'!$I$8,"Upcoming","Scheduled"))))</f>
        <v/>
      </c>
      <c r="J98" s="6"/>
    </row>
    <row r="99" spans="1:10">
      <c r="A99" s="2"/>
      <c r="B99" s="5"/>
      <c r="C99" s="5"/>
      <c r="D99" s="3"/>
      <c r="E99" s="3"/>
      <c r="F99" s="23">
        <f t="shared" si="2"/>
        <v>0</v>
      </c>
      <c r="G99" s="2"/>
      <c r="H99" s="2"/>
      <c r="I99" t="str">
        <f>IF(C99="","",IF(F99=0,"Paid",IF(C99&lt;'09_SETTINGS'!$I$8,"Overdue",IF(C99-'09_SETTINGS'!$I$5&lt;='09_SETTINGS'!$I$8,"Upcoming","Scheduled"))))</f>
        <v/>
      </c>
      <c r="J99" s="6"/>
    </row>
    <row r="100" spans="1:10">
      <c r="A100" s="2"/>
      <c r="B100" s="5"/>
      <c r="C100" s="5"/>
      <c r="D100" s="3"/>
      <c r="E100" s="3"/>
      <c r="F100" s="23">
        <f t="shared" ref="F100:F131" si="3">D100-E100</f>
        <v>0</v>
      </c>
      <c r="G100" s="2"/>
      <c r="H100" s="2"/>
      <c r="I100" t="str">
        <f>IF(C100="","",IF(F100=0,"Paid",IF(C100&lt;'09_SETTINGS'!$I$8,"Overdue",IF(C100-'09_SETTINGS'!$I$5&lt;='09_SETTINGS'!$I$8,"Upcoming","Scheduled"))))</f>
        <v/>
      </c>
      <c r="J100" s="6"/>
    </row>
    <row r="101" spans="1:10">
      <c r="A101" s="2"/>
      <c r="B101" s="5"/>
      <c r="C101" s="5"/>
      <c r="D101" s="3"/>
      <c r="E101" s="3"/>
      <c r="F101" s="23">
        <f t="shared" si="3"/>
        <v>0</v>
      </c>
      <c r="G101" s="2"/>
      <c r="H101" s="2"/>
      <c r="I101" t="str">
        <f>IF(C101="","",IF(F101=0,"Paid",IF(C101&lt;'09_SETTINGS'!$I$8,"Overdue",IF(C101-'09_SETTINGS'!$I$5&lt;='09_SETTINGS'!$I$8,"Upcoming","Scheduled"))))</f>
        <v/>
      </c>
      <c r="J101" s="6"/>
    </row>
    <row r="102" spans="1:10">
      <c r="A102" s="2"/>
      <c r="B102" s="5"/>
      <c r="C102" s="5"/>
      <c r="D102" s="3"/>
      <c r="E102" s="3"/>
      <c r="F102" s="23">
        <f t="shared" si="3"/>
        <v>0</v>
      </c>
      <c r="G102" s="2"/>
      <c r="H102" s="2"/>
      <c r="I102" t="str">
        <f>IF(C102="","",IF(F102=0,"Paid",IF(C102&lt;'09_SETTINGS'!$I$8,"Overdue",IF(C102-'09_SETTINGS'!$I$5&lt;='09_SETTINGS'!$I$8,"Upcoming","Scheduled"))))</f>
        <v/>
      </c>
      <c r="J102" s="6"/>
    </row>
    <row r="103" spans="1:10">
      <c r="A103" s="2"/>
      <c r="B103" s="5"/>
      <c r="C103" s="5"/>
      <c r="D103" s="3"/>
      <c r="E103" s="3"/>
      <c r="F103" s="23">
        <f t="shared" si="3"/>
        <v>0</v>
      </c>
      <c r="G103" s="2"/>
      <c r="H103" s="2"/>
      <c r="I103" t="str">
        <f>IF(C103="","",IF(F103=0,"Paid",IF(C103&lt;'09_SETTINGS'!$I$8,"Overdue",IF(C103-'09_SETTINGS'!$I$5&lt;='09_SETTINGS'!$I$8,"Upcoming","Scheduled"))))</f>
        <v/>
      </c>
      <c r="J103" s="6"/>
    </row>
    <row r="104" spans="1:10">
      <c r="A104" s="2"/>
      <c r="B104" s="5"/>
      <c r="C104" s="5"/>
      <c r="D104" s="3"/>
      <c r="E104" s="3"/>
      <c r="F104" s="23">
        <f t="shared" si="3"/>
        <v>0</v>
      </c>
      <c r="G104" s="2"/>
      <c r="H104" s="2"/>
      <c r="I104" t="str">
        <f>IF(C104="","",IF(F104=0,"Paid",IF(C104&lt;'09_SETTINGS'!$I$8,"Overdue",IF(C104-'09_SETTINGS'!$I$5&lt;='09_SETTINGS'!$I$8,"Upcoming","Scheduled"))))</f>
        <v/>
      </c>
      <c r="J104" s="6"/>
    </row>
    <row r="105" spans="1:10">
      <c r="A105" s="2"/>
      <c r="B105" s="5"/>
      <c r="C105" s="5"/>
      <c r="D105" s="3"/>
      <c r="E105" s="3"/>
      <c r="F105" s="23">
        <f t="shared" si="3"/>
        <v>0</v>
      </c>
      <c r="G105" s="2"/>
      <c r="H105" s="2"/>
      <c r="I105" t="str">
        <f>IF(C105="","",IF(F105=0,"Paid",IF(C105&lt;'09_SETTINGS'!$I$8,"Overdue",IF(C105-'09_SETTINGS'!$I$5&lt;='09_SETTINGS'!$I$8,"Upcoming","Scheduled"))))</f>
        <v/>
      </c>
      <c r="J105" s="6"/>
    </row>
    <row r="106" spans="1:10">
      <c r="A106" s="2"/>
      <c r="B106" s="5"/>
      <c r="C106" s="5"/>
      <c r="D106" s="3"/>
      <c r="E106" s="3"/>
      <c r="F106" s="23">
        <f t="shared" si="3"/>
        <v>0</v>
      </c>
      <c r="G106" s="2"/>
      <c r="H106" s="2"/>
      <c r="I106" t="str">
        <f>IF(C106="","",IF(F106=0,"Paid",IF(C106&lt;'09_SETTINGS'!$I$8,"Overdue",IF(C106-'09_SETTINGS'!$I$5&lt;='09_SETTINGS'!$I$8,"Upcoming","Scheduled"))))</f>
        <v/>
      </c>
      <c r="J106" s="6"/>
    </row>
    <row r="107" spans="1:10">
      <c r="A107" s="2"/>
      <c r="B107" s="5"/>
      <c r="C107" s="5"/>
      <c r="D107" s="3"/>
      <c r="E107" s="3"/>
      <c r="F107" s="23">
        <f t="shared" si="3"/>
        <v>0</v>
      </c>
      <c r="G107" s="2"/>
      <c r="H107" s="2"/>
      <c r="I107" t="str">
        <f>IF(C107="","",IF(F107=0,"Paid",IF(C107&lt;'09_SETTINGS'!$I$8,"Overdue",IF(C107-'09_SETTINGS'!$I$5&lt;='09_SETTINGS'!$I$8,"Upcoming","Scheduled"))))</f>
        <v/>
      </c>
      <c r="J107" s="6"/>
    </row>
    <row r="108" spans="1:10">
      <c r="A108" s="2"/>
      <c r="B108" s="5"/>
      <c r="C108" s="5"/>
      <c r="D108" s="3"/>
      <c r="E108" s="3"/>
      <c r="F108" s="23">
        <f t="shared" si="3"/>
        <v>0</v>
      </c>
      <c r="G108" s="2"/>
      <c r="H108" s="2"/>
      <c r="I108" t="str">
        <f>IF(C108="","",IF(F108=0,"Paid",IF(C108&lt;'09_SETTINGS'!$I$8,"Overdue",IF(C108-'09_SETTINGS'!$I$5&lt;='09_SETTINGS'!$I$8,"Upcoming","Scheduled"))))</f>
        <v/>
      </c>
      <c r="J108" s="6"/>
    </row>
    <row r="109" spans="1:10">
      <c r="A109" s="2"/>
      <c r="B109" s="5"/>
      <c r="C109" s="5"/>
      <c r="D109" s="3"/>
      <c r="E109" s="3"/>
      <c r="F109" s="23">
        <f t="shared" si="3"/>
        <v>0</v>
      </c>
      <c r="G109" s="2"/>
      <c r="H109" s="2"/>
      <c r="I109" t="str">
        <f>IF(C109="","",IF(F109=0,"Paid",IF(C109&lt;'09_SETTINGS'!$I$8,"Overdue",IF(C109-'09_SETTINGS'!$I$5&lt;='09_SETTINGS'!$I$8,"Upcoming","Scheduled"))))</f>
        <v/>
      </c>
      <c r="J109" s="6"/>
    </row>
    <row r="110" spans="1:10">
      <c r="A110" s="2"/>
      <c r="B110" s="5"/>
      <c r="C110" s="5"/>
      <c r="D110" s="3"/>
      <c r="E110" s="3"/>
      <c r="F110" s="23">
        <f t="shared" si="3"/>
        <v>0</v>
      </c>
      <c r="G110" s="2"/>
      <c r="H110" s="2"/>
      <c r="I110" t="str">
        <f>IF(C110="","",IF(F110=0,"Paid",IF(C110&lt;'09_SETTINGS'!$I$8,"Overdue",IF(C110-'09_SETTINGS'!$I$5&lt;='09_SETTINGS'!$I$8,"Upcoming","Scheduled"))))</f>
        <v/>
      </c>
      <c r="J110" s="6"/>
    </row>
    <row r="111" spans="1:10">
      <c r="A111" s="2"/>
      <c r="B111" s="5"/>
      <c r="C111" s="5"/>
      <c r="D111" s="3"/>
      <c r="E111" s="3"/>
      <c r="F111" s="23">
        <f t="shared" si="3"/>
        <v>0</v>
      </c>
      <c r="G111" s="2"/>
      <c r="H111" s="2"/>
      <c r="I111" t="str">
        <f>IF(C111="","",IF(F111=0,"Paid",IF(C111&lt;'09_SETTINGS'!$I$8,"Overdue",IF(C111-'09_SETTINGS'!$I$5&lt;='09_SETTINGS'!$I$8,"Upcoming","Scheduled"))))</f>
        <v/>
      </c>
      <c r="J111" s="6"/>
    </row>
    <row r="112" spans="1:10">
      <c r="A112" s="2"/>
      <c r="B112" s="5"/>
      <c r="C112" s="5"/>
      <c r="D112" s="3"/>
      <c r="E112" s="3"/>
      <c r="F112" s="23">
        <f t="shared" si="3"/>
        <v>0</v>
      </c>
      <c r="G112" s="2"/>
      <c r="H112" s="2"/>
      <c r="I112" t="str">
        <f>IF(C112="","",IF(F112=0,"Paid",IF(C112&lt;'09_SETTINGS'!$I$8,"Overdue",IF(C112-'09_SETTINGS'!$I$5&lt;='09_SETTINGS'!$I$8,"Upcoming","Scheduled"))))</f>
        <v/>
      </c>
      <c r="J112" s="6"/>
    </row>
    <row r="113" spans="1:10">
      <c r="A113" s="2"/>
      <c r="B113" s="5"/>
      <c r="C113" s="5"/>
      <c r="D113" s="3"/>
      <c r="E113" s="3"/>
      <c r="F113" s="23">
        <f t="shared" si="3"/>
        <v>0</v>
      </c>
      <c r="G113" s="2"/>
      <c r="H113" s="2"/>
      <c r="I113" t="str">
        <f>IF(C113="","",IF(F113=0,"Paid",IF(C113&lt;'09_SETTINGS'!$I$8,"Overdue",IF(C113-'09_SETTINGS'!$I$5&lt;='09_SETTINGS'!$I$8,"Upcoming","Scheduled"))))</f>
        <v/>
      </c>
      <c r="J113" s="6"/>
    </row>
    <row r="114" spans="1:10">
      <c r="A114" s="2"/>
      <c r="B114" s="5"/>
      <c r="C114" s="5"/>
      <c r="D114" s="3"/>
      <c r="E114" s="3"/>
      <c r="F114" s="23">
        <f t="shared" si="3"/>
        <v>0</v>
      </c>
      <c r="G114" s="2"/>
      <c r="H114" s="2"/>
      <c r="I114" t="str">
        <f>IF(C114="","",IF(F114=0,"Paid",IF(C114&lt;'09_SETTINGS'!$I$8,"Overdue",IF(C114-'09_SETTINGS'!$I$5&lt;='09_SETTINGS'!$I$8,"Upcoming","Scheduled"))))</f>
        <v/>
      </c>
      <c r="J114" s="6"/>
    </row>
    <row r="115" spans="1:10">
      <c r="A115" s="2"/>
      <c r="B115" s="5"/>
      <c r="C115" s="5"/>
      <c r="D115" s="3"/>
      <c r="E115" s="3"/>
      <c r="F115" s="23">
        <f t="shared" si="3"/>
        <v>0</v>
      </c>
      <c r="G115" s="2"/>
      <c r="H115" s="2"/>
      <c r="I115" t="str">
        <f>IF(C115="","",IF(F115=0,"Paid",IF(C115&lt;'09_SETTINGS'!$I$8,"Overdue",IF(C115-'09_SETTINGS'!$I$5&lt;='09_SETTINGS'!$I$8,"Upcoming","Scheduled"))))</f>
        <v/>
      </c>
      <c r="J115" s="6"/>
    </row>
    <row r="116" spans="1:10">
      <c r="A116" s="2"/>
      <c r="B116" s="5"/>
      <c r="C116" s="5"/>
      <c r="D116" s="3"/>
      <c r="E116" s="3"/>
      <c r="F116" s="23">
        <f t="shared" si="3"/>
        <v>0</v>
      </c>
      <c r="G116" s="2"/>
      <c r="H116" s="2"/>
      <c r="I116" t="str">
        <f>IF(C116="","",IF(F116=0,"Paid",IF(C116&lt;'09_SETTINGS'!$I$8,"Overdue",IF(C116-'09_SETTINGS'!$I$5&lt;='09_SETTINGS'!$I$8,"Upcoming","Scheduled"))))</f>
        <v/>
      </c>
      <c r="J116" s="6"/>
    </row>
    <row r="117" spans="1:10">
      <c r="A117" s="2"/>
      <c r="B117" s="5"/>
      <c r="C117" s="5"/>
      <c r="D117" s="3"/>
      <c r="E117" s="3"/>
      <c r="F117" s="23">
        <f t="shared" si="3"/>
        <v>0</v>
      </c>
      <c r="G117" s="2"/>
      <c r="H117" s="2"/>
      <c r="I117" t="str">
        <f>IF(C117="","",IF(F117=0,"Paid",IF(C117&lt;'09_SETTINGS'!$I$8,"Overdue",IF(C117-'09_SETTINGS'!$I$5&lt;='09_SETTINGS'!$I$8,"Upcoming","Scheduled"))))</f>
        <v/>
      </c>
      <c r="J117" s="6"/>
    </row>
    <row r="118" spans="1:10">
      <c r="A118" s="2"/>
      <c r="B118" s="5"/>
      <c r="C118" s="5"/>
      <c r="D118" s="3"/>
      <c r="E118" s="3"/>
      <c r="F118" s="23">
        <f t="shared" si="3"/>
        <v>0</v>
      </c>
      <c r="G118" s="2"/>
      <c r="H118" s="2"/>
      <c r="I118" t="str">
        <f>IF(C118="","",IF(F118=0,"Paid",IF(C118&lt;'09_SETTINGS'!$I$8,"Overdue",IF(C118-'09_SETTINGS'!$I$5&lt;='09_SETTINGS'!$I$8,"Upcoming","Scheduled"))))</f>
        <v/>
      </c>
      <c r="J118" s="6"/>
    </row>
    <row r="119" spans="1:10">
      <c r="A119" s="2"/>
      <c r="B119" s="5"/>
      <c r="C119" s="5"/>
      <c r="D119" s="3"/>
      <c r="E119" s="3"/>
      <c r="F119" s="23">
        <f t="shared" si="3"/>
        <v>0</v>
      </c>
      <c r="G119" s="2"/>
      <c r="H119" s="2"/>
      <c r="I119" t="str">
        <f>IF(C119="","",IF(F119=0,"Paid",IF(C119&lt;'09_SETTINGS'!$I$8,"Overdue",IF(C119-'09_SETTINGS'!$I$5&lt;='09_SETTINGS'!$I$8,"Upcoming","Scheduled"))))</f>
        <v/>
      </c>
      <c r="J119" s="6"/>
    </row>
    <row r="120" spans="1:10">
      <c r="A120" s="2"/>
      <c r="B120" s="5"/>
      <c r="C120" s="5"/>
      <c r="D120" s="3"/>
      <c r="E120" s="3"/>
      <c r="F120" s="23">
        <f t="shared" si="3"/>
        <v>0</v>
      </c>
      <c r="G120" s="2"/>
      <c r="H120" s="2"/>
      <c r="I120" t="str">
        <f>IF(C120="","",IF(F120=0,"Paid",IF(C120&lt;'09_SETTINGS'!$I$8,"Overdue",IF(C120-'09_SETTINGS'!$I$5&lt;='09_SETTINGS'!$I$8,"Upcoming","Scheduled"))))</f>
        <v/>
      </c>
      <c r="J120" s="6"/>
    </row>
    <row r="121" spans="1:10">
      <c r="A121" s="2"/>
      <c r="B121" s="5"/>
      <c r="C121" s="5"/>
      <c r="D121" s="3"/>
      <c r="E121" s="3"/>
      <c r="F121" s="23">
        <f t="shared" si="3"/>
        <v>0</v>
      </c>
      <c r="G121" s="2"/>
      <c r="H121" s="2"/>
      <c r="I121" t="str">
        <f>IF(C121="","",IF(F121=0,"Paid",IF(C121&lt;'09_SETTINGS'!$I$8,"Overdue",IF(C121-'09_SETTINGS'!$I$5&lt;='09_SETTINGS'!$I$8,"Upcoming","Scheduled"))))</f>
        <v/>
      </c>
      <c r="J121" s="6"/>
    </row>
    <row r="122" spans="1:10">
      <c r="A122" s="2"/>
      <c r="B122" s="5"/>
      <c r="C122" s="5"/>
      <c r="D122" s="3"/>
      <c r="E122" s="3"/>
      <c r="F122" s="23">
        <f t="shared" si="3"/>
        <v>0</v>
      </c>
      <c r="G122" s="2"/>
      <c r="H122" s="2"/>
      <c r="I122" t="str">
        <f>IF(C122="","",IF(F122=0,"Paid",IF(C122&lt;'09_SETTINGS'!$I$8,"Overdue",IF(C122-'09_SETTINGS'!$I$5&lt;='09_SETTINGS'!$I$8,"Upcoming","Scheduled"))))</f>
        <v/>
      </c>
      <c r="J122" s="6"/>
    </row>
    <row r="123" spans="1:10">
      <c r="A123" s="2"/>
      <c r="B123" s="5"/>
      <c r="C123" s="5"/>
      <c r="D123" s="3"/>
      <c r="E123" s="3"/>
      <c r="F123" s="23">
        <f t="shared" si="3"/>
        <v>0</v>
      </c>
      <c r="G123" s="2"/>
      <c r="H123" s="2"/>
      <c r="I123" t="str">
        <f>IF(C123="","",IF(F123=0,"Paid",IF(C123&lt;'09_SETTINGS'!$I$8,"Overdue",IF(C123-'09_SETTINGS'!$I$5&lt;='09_SETTINGS'!$I$8,"Upcoming","Scheduled"))))</f>
        <v/>
      </c>
      <c r="J123" s="6"/>
    </row>
    <row r="124" spans="1:10">
      <c r="A124" s="2"/>
      <c r="B124" s="5"/>
      <c r="C124" s="5"/>
      <c r="D124" s="3"/>
      <c r="E124" s="3"/>
      <c r="F124" s="23">
        <f t="shared" si="3"/>
        <v>0</v>
      </c>
      <c r="G124" s="2"/>
      <c r="H124" s="2"/>
      <c r="I124" t="str">
        <f>IF(C124="","",IF(F124=0,"Paid",IF(C124&lt;'09_SETTINGS'!$I$8,"Overdue",IF(C124-'09_SETTINGS'!$I$5&lt;='09_SETTINGS'!$I$8,"Upcoming","Scheduled"))))</f>
        <v/>
      </c>
      <c r="J124" s="6"/>
    </row>
    <row r="125" spans="1:10">
      <c r="A125" s="2"/>
      <c r="B125" s="5"/>
      <c r="C125" s="5"/>
      <c r="D125" s="3"/>
      <c r="E125" s="3"/>
      <c r="F125" s="23">
        <f t="shared" si="3"/>
        <v>0</v>
      </c>
      <c r="G125" s="2"/>
      <c r="H125" s="2"/>
      <c r="I125" t="str">
        <f>IF(C125="","",IF(F125=0,"Paid",IF(C125&lt;'09_SETTINGS'!$I$8,"Overdue",IF(C125-'09_SETTINGS'!$I$5&lt;='09_SETTINGS'!$I$8,"Upcoming","Scheduled"))))</f>
        <v/>
      </c>
      <c r="J125" s="6"/>
    </row>
    <row r="126" spans="1:10">
      <c r="A126" s="2"/>
      <c r="B126" s="5"/>
      <c r="C126" s="5"/>
      <c r="D126" s="3"/>
      <c r="E126" s="3"/>
      <c r="F126" s="23">
        <f t="shared" si="3"/>
        <v>0</v>
      </c>
      <c r="G126" s="2"/>
      <c r="H126" s="2"/>
      <c r="I126" t="str">
        <f>IF(C126="","",IF(F126=0,"Paid",IF(C126&lt;'09_SETTINGS'!$I$8,"Overdue",IF(C126-'09_SETTINGS'!$I$5&lt;='09_SETTINGS'!$I$8,"Upcoming","Scheduled"))))</f>
        <v/>
      </c>
      <c r="J126" s="6"/>
    </row>
    <row r="127" spans="1:10">
      <c r="A127" s="2"/>
      <c r="B127" s="5"/>
      <c r="C127" s="5"/>
      <c r="D127" s="3"/>
      <c r="E127" s="3"/>
      <c r="F127" s="23">
        <f t="shared" si="3"/>
        <v>0</v>
      </c>
      <c r="G127" s="2"/>
      <c r="H127" s="2"/>
      <c r="I127" t="str">
        <f>IF(C127="","",IF(F127=0,"Paid",IF(C127&lt;'09_SETTINGS'!$I$8,"Overdue",IF(C127-'09_SETTINGS'!$I$5&lt;='09_SETTINGS'!$I$8,"Upcoming","Scheduled"))))</f>
        <v/>
      </c>
      <c r="J127" s="6"/>
    </row>
    <row r="128" spans="1:10">
      <c r="A128" s="2"/>
      <c r="B128" s="5"/>
      <c r="C128" s="5"/>
      <c r="D128" s="3"/>
      <c r="E128" s="3"/>
      <c r="F128" s="23">
        <f t="shared" si="3"/>
        <v>0</v>
      </c>
      <c r="G128" s="2"/>
      <c r="H128" s="2"/>
      <c r="I128" t="str">
        <f>IF(C128="","",IF(F128=0,"Paid",IF(C128&lt;'09_SETTINGS'!$I$8,"Overdue",IF(C128-'09_SETTINGS'!$I$5&lt;='09_SETTINGS'!$I$8,"Upcoming","Scheduled"))))</f>
        <v/>
      </c>
      <c r="J128" s="6"/>
    </row>
    <row r="129" spans="1:10">
      <c r="A129" s="2"/>
      <c r="B129" s="5"/>
      <c r="C129" s="5"/>
      <c r="D129" s="3"/>
      <c r="E129" s="3"/>
      <c r="F129" s="23">
        <f t="shared" si="3"/>
        <v>0</v>
      </c>
      <c r="G129" s="2"/>
      <c r="H129" s="2"/>
      <c r="I129" t="str">
        <f>IF(C129="","",IF(F129=0,"Paid",IF(C129&lt;'09_SETTINGS'!$I$8,"Overdue",IF(C129-'09_SETTINGS'!$I$5&lt;='09_SETTINGS'!$I$8,"Upcoming","Scheduled"))))</f>
        <v/>
      </c>
      <c r="J129" s="6"/>
    </row>
    <row r="130" spans="1:10">
      <c r="A130" s="2"/>
      <c r="B130" s="5"/>
      <c r="C130" s="5"/>
      <c r="D130" s="3"/>
      <c r="E130" s="3"/>
      <c r="F130" s="23">
        <f t="shared" si="3"/>
        <v>0</v>
      </c>
      <c r="G130" s="2"/>
      <c r="H130" s="2"/>
      <c r="I130" t="str">
        <f>IF(C130="","",IF(F130=0,"Paid",IF(C130&lt;'09_SETTINGS'!$I$8,"Overdue",IF(C130-'09_SETTINGS'!$I$5&lt;='09_SETTINGS'!$I$8,"Upcoming","Scheduled"))))</f>
        <v/>
      </c>
      <c r="J130" s="6"/>
    </row>
    <row r="131" spans="1:10">
      <c r="A131" s="2"/>
      <c r="B131" s="5"/>
      <c r="C131" s="5"/>
      <c r="D131" s="3"/>
      <c r="E131" s="3"/>
      <c r="F131" s="23">
        <f t="shared" si="3"/>
        <v>0</v>
      </c>
      <c r="G131" s="2"/>
      <c r="H131" s="2"/>
      <c r="I131" t="str">
        <f>IF(C131="","",IF(F131=0,"Paid",IF(C131&lt;'09_SETTINGS'!$I$8,"Overdue",IF(C131-'09_SETTINGS'!$I$5&lt;='09_SETTINGS'!$I$8,"Upcoming","Scheduled"))))</f>
        <v/>
      </c>
      <c r="J131" s="6"/>
    </row>
    <row r="132" spans="1:10">
      <c r="A132" s="2"/>
      <c r="B132" s="5"/>
      <c r="C132" s="5"/>
      <c r="D132" s="3"/>
      <c r="E132" s="3"/>
      <c r="F132" s="23">
        <f t="shared" ref="F132:F163" si="4">D132-E132</f>
        <v>0</v>
      </c>
      <c r="G132" s="2"/>
      <c r="H132" s="2"/>
      <c r="I132" t="str">
        <f>IF(C132="","",IF(F132=0,"Paid",IF(C132&lt;'09_SETTINGS'!$I$8,"Overdue",IF(C132-'09_SETTINGS'!$I$5&lt;='09_SETTINGS'!$I$8,"Upcoming","Scheduled"))))</f>
        <v/>
      </c>
      <c r="J132" s="6"/>
    </row>
    <row r="133" spans="1:10">
      <c r="A133" s="2"/>
      <c r="B133" s="5"/>
      <c r="C133" s="5"/>
      <c r="D133" s="3"/>
      <c r="E133" s="3"/>
      <c r="F133" s="23">
        <f t="shared" si="4"/>
        <v>0</v>
      </c>
      <c r="G133" s="2"/>
      <c r="H133" s="2"/>
      <c r="I133" t="str">
        <f>IF(C133="","",IF(F133=0,"Paid",IF(C133&lt;'09_SETTINGS'!$I$8,"Overdue",IF(C133-'09_SETTINGS'!$I$5&lt;='09_SETTINGS'!$I$8,"Upcoming","Scheduled"))))</f>
        <v/>
      </c>
      <c r="J133" s="6"/>
    </row>
    <row r="134" spans="1:10">
      <c r="A134" s="2"/>
      <c r="B134" s="5"/>
      <c r="C134" s="5"/>
      <c r="D134" s="3"/>
      <c r="E134" s="3"/>
      <c r="F134" s="23">
        <f t="shared" si="4"/>
        <v>0</v>
      </c>
      <c r="G134" s="2"/>
      <c r="H134" s="2"/>
      <c r="I134" t="str">
        <f>IF(C134="","",IF(F134=0,"Paid",IF(C134&lt;'09_SETTINGS'!$I$8,"Overdue",IF(C134-'09_SETTINGS'!$I$5&lt;='09_SETTINGS'!$I$8,"Upcoming","Scheduled"))))</f>
        <v/>
      </c>
      <c r="J134" s="6"/>
    </row>
    <row r="135" spans="1:10">
      <c r="A135" s="2"/>
      <c r="B135" s="5"/>
      <c r="C135" s="5"/>
      <c r="D135" s="3"/>
      <c r="E135" s="3"/>
      <c r="F135" s="23">
        <f t="shared" si="4"/>
        <v>0</v>
      </c>
      <c r="G135" s="2"/>
      <c r="H135" s="2"/>
      <c r="I135" t="str">
        <f>IF(C135="","",IF(F135=0,"Paid",IF(C135&lt;'09_SETTINGS'!$I$8,"Overdue",IF(C135-'09_SETTINGS'!$I$5&lt;='09_SETTINGS'!$I$8,"Upcoming","Scheduled"))))</f>
        <v/>
      </c>
      <c r="J135" s="6"/>
    </row>
    <row r="136" spans="1:10">
      <c r="A136" s="2"/>
      <c r="B136" s="5"/>
      <c r="C136" s="5"/>
      <c r="D136" s="3"/>
      <c r="E136" s="3"/>
      <c r="F136" s="23">
        <f t="shared" si="4"/>
        <v>0</v>
      </c>
      <c r="G136" s="2"/>
      <c r="H136" s="2"/>
      <c r="I136" t="str">
        <f>IF(C136="","",IF(F136=0,"Paid",IF(C136&lt;'09_SETTINGS'!$I$8,"Overdue",IF(C136-'09_SETTINGS'!$I$5&lt;='09_SETTINGS'!$I$8,"Upcoming","Scheduled"))))</f>
        <v/>
      </c>
      <c r="J136" s="6"/>
    </row>
    <row r="137" spans="1:10">
      <c r="A137" s="2"/>
      <c r="B137" s="5"/>
      <c r="C137" s="5"/>
      <c r="D137" s="3"/>
      <c r="E137" s="3"/>
      <c r="F137" s="23">
        <f t="shared" si="4"/>
        <v>0</v>
      </c>
      <c r="G137" s="2"/>
      <c r="H137" s="2"/>
      <c r="I137" t="str">
        <f>IF(C137="","",IF(F137=0,"Paid",IF(C137&lt;'09_SETTINGS'!$I$8,"Overdue",IF(C137-'09_SETTINGS'!$I$5&lt;='09_SETTINGS'!$I$8,"Upcoming","Scheduled"))))</f>
        <v/>
      </c>
      <c r="J137" s="6"/>
    </row>
    <row r="138" spans="1:10">
      <c r="A138" s="2"/>
      <c r="B138" s="5"/>
      <c r="C138" s="5"/>
      <c r="D138" s="3"/>
      <c r="E138" s="3"/>
      <c r="F138" s="23">
        <f t="shared" si="4"/>
        <v>0</v>
      </c>
      <c r="G138" s="2"/>
      <c r="H138" s="2"/>
      <c r="I138" t="str">
        <f>IF(C138="","",IF(F138=0,"Paid",IF(C138&lt;'09_SETTINGS'!$I$8,"Overdue",IF(C138-'09_SETTINGS'!$I$5&lt;='09_SETTINGS'!$I$8,"Upcoming","Scheduled"))))</f>
        <v/>
      </c>
      <c r="J138" s="6"/>
    </row>
    <row r="139" spans="1:10">
      <c r="A139" s="2"/>
      <c r="B139" s="5"/>
      <c r="C139" s="5"/>
      <c r="D139" s="3"/>
      <c r="E139" s="3"/>
      <c r="F139" s="23">
        <f t="shared" si="4"/>
        <v>0</v>
      </c>
      <c r="G139" s="2"/>
      <c r="H139" s="2"/>
      <c r="I139" t="str">
        <f>IF(C139="","",IF(F139=0,"Paid",IF(C139&lt;'09_SETTINGS'!$I$8,"Overdue",IF(C139-'09_SETTINGS'!$I$5&lt;='09_SETTINGS'!$I$8,"Upcoming","Scheduled"))))</f>
        <v/>
      </c>
      <c r="J139" s="6"/>
    </row>
    <row r="140" spans="1:10">
      <c r="A140" s="2"/>
      <c r="B140" s="5"/>
      <c r="C140" s="5"/>
      <c r="D140" s="3"/>
      <c r="E140" s="3"/>
      <c r="F140" s="23">
        <f t="shared" si="4"/>
        <v>0</v>
      </c>
      <c r="G140" s="2"/>
      <c r="H140" s="2"/>
      <c r="I140" t="str">
        <f>IF(C140="","",IF(F140=0,"Paid",IF(C140&lt;'09_SETTINGS'!$I$8,"Overdue",IF(C140-'09_SETTINGS'!$I$5&lt;='09_SETTINGS'!$I$8,"Upcoming","Scheduled"))))</f>
        <v/>
      </c>
      <c r="J140" s="6"/>
    </row>
    <row r="141" spans="1:10">
      <c r="A141" s="2"/>
      <c r="B141" s="5"/>
      <c r="C141" s="5"/>
      <c r="D141" s="3"/>
      <c r="E141" s="3"/>
      <c r="F141" s="23">
        <f t="shared" si="4"/>
        <v>0</v>
      </c>
      <c r="G141" s="2"/>
      <c r="H141" s="2"/>
      <c r="I141" t="str">
        <f>IF(C141="","",IF(F141=0,"Paid",IF(C141&lt;'09_SETTINGS'!$I$8,"Overdue",IF(C141-'09_SETTINGS'!$I$5&lt;='09_SETTINGS'!$I$8,"Upcoming","Scheduled"))))</f>
        <v/>
      </c>
      <c r="J141" s="6"/>
    </row>
    <row r="142" spans="1:10">
      <c r="A142" s="2"/>
      <c r="B142" s="5"/>
      <c r="C142" s="5"/>
      <c r="D142" s="3"/>
      <c r="E142" s="3"/>
      <c r="F142" s="23">
        <f t="shared" si="4"/>
        <v>0</v>
      </c>
      <c r="G142" s="2"/>
      <c r="H142" s="2"/>
      <c r="I142" t="str">
        <f>IF(C142="","",IF(F142=0,"Paid",IF(C142&lt;'09_SETTINGS'!$I$8,"Overdue",IF(C142-'09_SETTINGS'!$I$5&lt;='09_SETTINGS'!$I$8,"Upcoming","Scheduled"))))</f>
        <v/>
      </c>
      <c r="J142" s="6"/>
    </row>
    <row r="143" spans="1:10">
      <c r="A143" s="2"/>
      <c r="B143" s="5"/>
      <c r="C143" s="5"/>
      <c r="D143" s="3"/>
      <c r="E143" s="3"/>
      <c r="F143" s="23">
        <f t="shared" si="4"/>
        <v>0</v>
      </c>
      <c r="G143" s="2"/>
      <c r="H143" s="2"/>
      <c r="I143" t="str">
        <f>IF(C143="","",IF(F143=0,"Paid",IF(C143&lt;'09_SETTINGS'!$I$8,"Overdue",IF(C143-'09_SETTINGS'!$I$5&lt;='09_SETTINGS'!$I$8,"Upcoming","Scheduled"))))</f>
        <v/>
      </c>
      <c r="J143" s="6"/>
    </row>
    <row r="144" spans="1:10">
      <c r="A144" s="2"/>
      <c r="B144" s="5"/>
      <c r="C144" s="5"/>
      <c r="D144" s="3"/>
      <c r="E144" s="3"/>
      <c r="F144" s="23">
        <f t="shared" si="4"/>
        <v>0</v>
      </c>
      <c r="G144" s="2"/>
      <c r="H144" s="2"/>
      <c r="I144" t="str">
        <f>IF(C144="","",IF(F144=0,"Paid",IF(C144&lt;'09_SETTINGS'!$I$8,"Overdue",IF(C144-'09_SETTINGS'!$I$5&lt;='09_SETTINGS'!$I$8,"Upcoming","Scheduled"))))</f>
        <v/>
      </c>
      <c r="J144" s="6"/>
    </row>
    <row r="145" spans="1:10">
      <c r="A145" s="2"/>
      <c r="B145" s="5"/>
      <c r="C145" s="5"/>
      <c r="D145" s="3"/>
      <c r="E145" s="3"/>
      <c r="F145" s="23">
        <f t="shared" si="4"/>
        <v>0</v>
      </c>
      <c r="G145" s="2"/>
      <c r="H145" s="2"/>
      <c r="I145" t="str">
        <f>IF(C145="","",IF(F145=0,"Paid",IF(C145&lt;'09_SETTINGS'!$I$8,"Overdue",IF(C145-'09_SETTINGS'!$I$5&lt;='09_SETTINGS'!$I$8,"Upcoming","Scheduled"))))</f>
        <v/>
      </c>
      <c r="J145" s="6"/>
    </row>
    <row r="146" spans="1:10">
      <c r="A146" s="2"/>
      <c r="B146" s="5"/>
      <c r="C146" s="5"/>
      <c r="D146" s="3"/>
      <c r="E146" s="3"/>
      <c r="F146" s="23">
        <f t="shared" si="4"/>
        <v>0</v>
      </c>
      <c r="G146" s="2"/>
      <c r="H146" s="2"/>
      <c r="I146" t="str">
        <f>IF(C146="","",IF(F146=0,"Paid",IF(C146&lt;'09_SETTINGS'!$I$8,"Overdue",IF(C146-'09_SETTINGS'!$I$5&lt;='09_SETTINGS'!$I$8,"Upcoming","Scheduled"))))</f>
        <v/>
      </c>
      <c r="J146" s="6"/>
    </row>
    <row r="147" spans="1:10">
      <c r="A147" s="2"/>
      <c r="B147" s="5"/>
      <c r="C147" s="5"/>
      <c r="D147" s="3"/>
      <c r="E147" s="3"/>
      <c r="F147" s="23">
        <f t="shared" si="4"/>
        <v>0</v>
      </c>
      <c r="G147" s="2"/>
      <c r="H147" s="2"/>
      <c r="I147" t="str">
        <f>IF(C147="","",IF(F147=0,"Paid",IF(C147&lt;'09_SETTINGS'!$I$8,"Overdue",IF(C147-'09_SETTINGS'!$I$5&lt;='09_SETTINGS'!$I$8,"Upcoming","Scheduled"))))</f>
        <v/>
      </c>
      <c r="J147" s="6"/>
    </row>
    <row r="148" spans="1:10">
      <c r="A148" s="2"/>
      <c r="B148" s="5"/>
      <c r="C148" s="5"/>
      <c r="D148" s="3"/>
      <c r="E148" s="3"/>
      <c r="F148" s="23">
        <f t="shared" si="4"/>
        <v>0</v>
      </c>
      <c r="G148" s="2"/>
      <c r="H148" s="2"/>
      <c r="I148" t="str">
        <f>IF(C148="","",IF(F148=0,"Paid",IF(C148&lt;'09_SETTINGS'!$I$8,"Overdue",IF(C148-'09_SETTINGS'!$I$5&lt;='09_SETTINGS'!$I$8,"Upcoming","Scheduled"))))</f>
        <v/>
      </c>
      <c r="J148" s="6"/>
    </row>
    <row r="149" spans="1:10">
      <c r="A149" s="2"/>
      <c r="B149" s="5"/>
      <c r="C149" s="5"/>
      <c r="D149" s="3"/>
      <c r="E149" s="3"/>
      <c r="F149" s="23">
        <f t="shared" si="4"/>
        <v>0</v>
      </c>
      <c r="G149" s="2"/>
      <c r="H149" s="2"/>
      <c r="I149" t="str">
        <f>IF(C149="","",IF(F149=0,"Paid",IF(C149&lt;'09_SETTINGS'!$I$8,"Overdue",IF(C149-'09_SETTINGS'!$I$5&lt;='09_SETTINGS'!$I$8,"Upcoming","Scheduled"))))</f>
        <v/>
      </c>
      <c r="J149" s="6"/>
    </row>
    <row r="150" spans="1:10">
      <c r="A150" s="2"/>
      <c r="B150" s="5"/>
      <c r="C150" s="5"/>
      <c r="D150" s="3"/>
      <c r="E150" s="3"/>
      <c r="F150" s="23">
        <f t="shared" si="4"/>
        <v>0</v>
      </c>
      <c r="G150" s="2"/>
      <c r="H150" s="2"/>
      <c r="I150" t="str">
        <f>IF(C150="","",IF(F150=0,"Paid",IF(C150&lt;'09_SETTINGS'!$I$8,"Overdue",IF(C150-'09_SETTINGS'!$I$5&lt;='09_SETTINGS'!$I$8,"Upcoming","Scheduled"))))</f>
        <v/>
      </c>
      <c r="J150" s="6"/>
    </row>
    <row r="151" spans="1:10">
      <c r="A151" s="2"/>
      <c r="B151" s="5"/>
      <c r="C151" s="5"/>
      <c r="D151" s="3"/>
      <c r="E151" s="3"/>
      <c r="F151" s="23">
        <f t="shared" si="4"/>
        <v>0</v>
      </c>
      <c r="G151" s="2"/>
      <c r="H151" s="2"/>
      <c r="I151" t="str">
        <f>IF(C151="","",IF(F151=0,"Paid",IF(C151&lt;'09_SETTINGS'!$I$8,"Overdue",IF(C151-'09_SETTINGS'!$I$5&lt;='09_SETTINGS'!$I$8,"Upcoming","Scheduled"))))</f>
        <v/>
      </c>
      <c r="J151" s="6"/>
    </row>
    <row r="152" spans="1:10">
      <c r="A152" s="2"/>
      <c r="B152" s="5"/>
      <c r="C152" s="5"/>
      <c r="D152" s="3"/>
      <c r="E152" s="3"/>
      <c r="F152" s="23">
        <f t="shared" si="4"/>
        <v>0</v>
      </c>
      <c r="G152" s="2"/>
      <c r="H152" s="2"/>
      <c r="I152" t="str">
        <f>IF(C152="","",IF(F152=0,"Paid",IF(C152&lt;'09_SETTINGS'!$I$8,"Overdue",IF(C152-'09_SETTINGS'!$I$5&lt;='09_SETTINGS'!$I$8,"Upcoming","Scheduled"))))</f>
        <v/>
      </c>
      <c r="J152" s="6"/>
    </row>
    <row r="153" spans="1:10">
      <c r="A153" s="2"/>
      <c r="B153" s="5"/>
      <c r="C153" s="5"/>
      <c r="D153" s="3"/>
      <c r="E153" s="3"/>
      <c r="F153" s="23">
        <f t="shared" si="4"/>
        <v>0</v>
      </c>
      <c r="G153" s="2"/>
      <c r="H153" s="2"/>
      <c r="I153" t="str">
        <f>IF(C153="","",IF(F153=0,"Paid",IF(C153&lt;'09_SETTINGS'!$I$8,"Overdue",IF(C153-'09_SETTINGS'!$I$5&lt;='09_SETTINGS'!$I$8,"Upcoming","Scheduled"))))</f>
        <v/>
      </c>
      <c r="J153" s="6"/>
    </row>
    <row r="154" spans="1:10">
      <c r="A154" s="2"/>
      <c r="B154" s="5"/>
      <c r="C154" s="5"/>
      <c r="D154" s="3"/>
      <c r="E154" s="3"/>
      <c r="F154" s="23">
        <f t="shared" si="4"/>
        <v>0</v>
      </c>
      <c r="G154" s="2"/>
      <c r="H154" s="2"/>
      <c r="I154" t="str">
        <f>IF(C154="","",IF(F154=0,"Paid",IF(C154&lt;'09_SETTINGS'!$I$8,"Overdue",IF(C154-'09_SETTINGS'!$I$5&lt;='09_SETTINGS'!$I$8,"Upcoming","Scheduled"))))</f>
        <v/>
      </c>
      <c r="J154" s="6"/>
    </row>
    <row r="155" spans="1:10">
      <c r="A155" s="2"/>
      <c r="B155" s="5"/>
      <c r="C155" s="5"/>
      <c r="D155" s="3"/>
      <c r="E155" s="3"/>
      <c r="F155" s="23">
        <f t="shared" si="4"/>
        <v>0</v>
      </c>
      <c r="G155" s="2"/>
      <c r="H155" s="2"/>
      <c r="I155" t="str">
        <f>IF(C155="","",IF(F155=0,"Paid",IF(C155&lt;'09_SETTINGS'!$I$8,"Overdue",IF(C155-'09_SETTINGS'!$I$5&lt;='09_SETTINGS'!$I$8,"Upcoming","Scheduled"))))</f>
        <v/>
      </c>
      <c r="J155" s="6"/>
    </row>
    <row r="156" spans="1:10">
      <c r="A156" s="2"/>
      <c r="B156" s="5"/>
      <c r="C156" s="5"/>
      <c r="D156" s="3"/>
      <c r="E156" s="3"/>
      <c r="F156" s="23">
        <f t="shared" si="4"/>
        <v>0</v>
      </c>
      <c r="G156" s="2"/>
      <c r="H156" s="2"/>
      <c r="I156" t="str">
        <f>IF(C156="","",IF(F156=0,"Paid",IF(C156&lt;'09_SETTINGS'!$I$8,"Overdue",IF(C156-'09_SETTINGS'!$I$5&lt;='09_SETTINGS'!$I$8,"Upcoming","Scheduled"))))</f>
        <v/>
      </c>
      <c r="J156" s="6"/>
    </row>
    <row r="157" spans="1:10">
      <c r="A157" s="2"/>
      <c r="B157" s="5"/>
      <c r="C157" s="5"/>
      <c r="D157" s="3"/>
      <c r="E157" s="3"/>
      <c r="F157" s="23">
        <f t="shared" si="4"/>
        <v>0</v>
      </c>
      <c r="G157" s="2"/>
      <c r="H157" s="2"/>
      <c r="I157" t="str">
        <f>IF(C157="","",IF(F157=0,"Paid",IF(C157&lt;'09_SETTINGS'!$I$8,"Overdue",IF(C157-'09_SETTINGS'!$I$5&lt;='09_SETTINGS'!$I$8,"Upcoming","Scheduled"))))</f>
        <v/>
      </c>
      <c r="J157" s="6"/>
    </row>
    <row r="158" spans="1:10">
      <c r="A158" s="2"/>
      <c r="B158" s="5"/>
      <c r="C158" s="5"/>
      <c r="D158" s="3"/>
      <c r="E158" s="3"/>
      <c r="F158" s="23">
        <f t="shared" si="4"/>
        <v>0</v>
      </c>
      <c r="G158" s="2"/>
      <c r="H158" s="2"/>
      <c r="I158" t="str">
        <f>IF(C158="","",IF(F158=0,"Paid",IF(C158&lt;'09_SETTINGS'!$I$8,"Overdue",IF(C158-'09_SETTINGS'!$I$5&lt;='09_SETTINGS'!$I$8,"Upcoming","Scheduled"))))</f>
        <v/>
      </c>
      <c r="J158" s="6"/>
    </row>
    <row r="159" spans="1:10">
      <c r="A159" s="2"/>
      <c r="B159" s="5"/>
      <c r="C159" s="5"/>
      <c r="D159" s="3"/>
      <c r="E159" s="3"/>
      <c r="F159" s="23">
        <f t="shared" si="4"/>
        <v>0</v>
      </c>
      <c r="G159" s="2"/>
      <c r="H159" s="2"/>
      <c r="I159" t="str">
        <f>IF(C159="","",IF(F159=0,"Paid",IF(C159&lt;'09_SETTINGS'!$I$8,"Overdue",IF(C159-'09_SETTINGS'!$I$5&lt;='09_SETTINGS'!$I$8,"Upcoming","Scheduled"))))</f>
        <v/>
      </c>
      <c r="J159" s="6"/>
    </row>
    <row r="160" spans="1:10">
      <c r="A160" s="2"/>
      <c r="B160" s="5"/>
      <c r="C160" s="5"/>
      <c r="D160" s="3"/>
      <c r="E160" s="3"/>
      <c r="F160" s="23">
        <f t="shared" si="4"/>
        <v>0</v>
      </c>
      <c r="G160" s="2"/>
      <c r="H160" s="2"/>
      <c r="I160" t="str">
        <f>IF(C160="","",IF(F160=0,"Paid",IF(C160&lt;'09_SETTINGS'!$I$8,"Overdue",IF(C160-'09_SETTINGS'!$I$5&lt;='09_SETTINGS'!$I$8,"Upcoming","Scheduled"))))</f>
        <v/>
      </c>
      <c r="J160" s="6"/>
    </row>
    <row r="161" spans="1:10">
      <c r="A161" s="2"/>
      <c r="B161" s="5"/>
      <c r="C161" s="5"/>
      <c r="D161" s="3"/>
      <c r="E161" s="3"/>
      <c r="F161" s="23">
        <f t="shared" si="4"/>
        <v>0</v>
      </c>
      <c r="G161" s="2"/>
      <c r="H161" s="2"/>
      <c r="I161" t="str">
        <f>IF(C161="","",IF(F161=0,"Paid",IF(C161&lt;'09_SETTINGS'!$I$8,"Overdue",IF(C161-'09_SETTINGS'!$I$5&lt;='09_SETTINGS'!$I$8,"Upcoming","Scheduled"))))</f>
        <v/>
      </c>
      <c r="J161" s="6"/>
    </row>
    <row r="162" spans="1:10">
      <c r="A162" s="2"/>
      <c r="B162" s="5"/>
      <c r="C162" s="5"/>
      <c r="D162" s="3"/>
      <c r="E162" s="3"/>
      <c r="F162" s="23">
        <f t="shared" si="4"/>
        <v>0</v>
      </c>
      <c r="G162" s="2"/>
      <c r="H162" s="2"/>
      <c r="I162" t="str">
        <f>IF(C162="","",IF(F162=0,"Paid",IF(C162&lt;'09_SETTINGS'!$I$8,"Overdue",IF(C162-'09_SETTINGS'!$I$5&lt;='09_SETTINGS'!$I$8,"Upcoming","Scheduled"))))</f>
        <v/>
      </c>
      <c r="J162" s="6"/>
    </row>
    <row r="163" spans="1:10">
      <c r="A163" s="2"/>
      <c r="B163" s="5"/>
      <c r="C163" s="5"/>
      <c r="D163" s="3"/>
      <c r="E163" s="3"/>
      <c r="F163" s="23">
        <f t="shared" si="4"/>
        <v>0</v>
      </c>
      <c r="G163" s="2"/>
      <c r="H163" s="2"/>
      <c r="I163" t="str">
        <f>IF(C163="","",IF(F163=0,"Paid",IF(C163&lt;'09_SETTINGS'!$I$8,"Overdue",IF(C163-'09_SETTINGS'!$I$5&lt;='09_SETTINGS'!$I$8,"Upcoming","Scheduled"))))</f>
        <v/>
      </c>
      <c r="J163" s="6"/>
    </row>
    <row r="164" spans="1:10">
      <c r="A164" s="2"/>
      <c r="B164" s="5"/>
      <c r="C164" s="5"/>
      <c r="D164" s="3"/>
      <c r="E164" s="3"/>
      <c r="F164" s="23">
        <f t="shared" ref="F164:F195" si="5">D164-E164</f>
        <v>0</v>
      </c>
      <c r="G164" s="2"/>
      <c r="H164" s="2"/>
      <c r="I164" t="str">
        <f>IF(C164="","",IF(F164=0,"Paid",IF(C164&lt;'09_SETTINGS'!$I$8,"Overdue",IF(C164-'09_SETTINGS'!$I$5&lt;='09_SETTINGS'!$I$8,"Upcoming","Scheduled"))))</f>
        <v/>
      </c>
      <c r="J164" s="6"/>
    </row>
    <row r="165" spans="1:10">
      <c r="A165" s="2"/>
      <c r="B165" s="5"/>
      <c r="C165" s="5"/>
      <c r="D165" s="3"/>
      <c r="E165" s="3"/>
      <c r="F165" s="23">
        <f t="shared" si="5"/>
        <v>0</v>
      </c>
      <c r="G165" s="2"/>
      <c r="H165" s="2"/>
      <c r="I165" t="str">
        <f>IF(C165="","",IF(F165=0,"Paid",IF(C165&lt;'09_SETTINGS'!$I$8,"Overdue",IF(C165-'09_SETTINGS'!$I$5&lt;='09_SETTINGS'!$I$8,"Upcoming","Scheduled"))))</f>
        <v/>
      </c>
      <c r="J165" s="6"/>
    </row>
    <row r="166" spans="1:10">
      <c r="A166" s="2"/>
      <c r="B166" s="5"/>
      <c r="C166" s="5"/>
      <c r="D166" s="3"/>
      <c r="E166" s="3"/>
      <c r="F166" s="23">
        <f t="shared" si="5"/>
        <v>0</v>
      </c>
      <c r="G166" s="2"/>
      <c r="H166" s="2"/>
      <c r="I166" t="str">
        <f>IF(C166="","",IF(F166=0,"Paid",IF(C166&lt;'09_SETTINGS'!$I$8,"Overdue",IF(C166-'09_SETTINGS'!$I$5&lt;='09_SETTINGS'!$I$8,"Upcoming","Scheduled"))))</f>
        <v/>
      </c>
      <c r="J166" s="6"/>
    </row>
    <row r="167" spans="1:10">
      <c r="A167" s="2"/>
      <c r="B167" s="5"/>
      <c r="C167" s="5"/>
      <c r="D167" s="3"/>
      <c r="E167" s="3"/>
      <c r="F167" s="23">
        <f t="shared" si="5"/>
        <v>0</v>
      </c>
      <c r="G167" s="2"/>
      <c r="H167" s="2"/>
      <c r="I167" t="str">
        <f>IF(C167="","",IF(F167=0,"Paid",IF(C167&lt;'09_SETTINGS'!$I$8,"Overdue",IF(C167-'09_SETTINGS'!$I$5&lt;='09_SETTINGS'!$I$8,"Upcoming","Scheduled"))))</f>
        <v/>
      </c>
      <c r="J167" s="6"/>
    </row>
    <row r="168" spans="1:10">
      <c r="A168" s="2"/>
      <c r="B168" s="5"/>
      <c r="C168" s="5"/>
      <c r="D168" s="3"/>
      <c r="E168" s="3"/>
      <c r="F168" s="23">
        <f t="shared" si="5"/>
        <v>0</v>
      </c>
      <c r="G168" s="2"/>
      <c r="H168" s="2"/>
      <c r="I168" t="str">
        <f>IF(C168="","",IF(F168=0,"Paid",IF(C168&lt;'09_SETTINGS'!$I$8,"Overdue",IF(C168-'09_SETTINGS'!$I$5&lt;='09_SETTINGS'!$I$8,"Upcoming","Scheduled"))))</f>
        <v/>
      </c>
      <c r="J168" s="6"/>
    </row>
    <row r="169" spans="1:10">
      <c r="A169" s="2"/>
      <c r="B169" s="5"/>
      <c r="C169" s="5"/>
      <c r="D169" s="3"/>
      <c r="E169" s="3"/>
      <c r="F169" s="23">
        <f t="shared" si="5"/>
        <v>0</v>
      </c>
      <c r="G169" s="2"/>
      <c r="H169" s="2"/>
      <c r="I169" t="str">
        <f>IF(C169="","",IF(F169=0,"Paid",IF(C169&lt;'09_SETTINGS'!$I$8,"Overdue",IF(C169-'09_SETTINGS'!$I$5&lt;='09_SETTINGS'!$I$8,"Upcoming","Scheduled"))))</f>
        <v/>
      </c>
      <c r="J169" s="6"/>
    </row>
    <row r="170" spans="1:10">
      <c r="A170" s="2"/>
      <c r="B170" s="5"/>
      <c r="C170" s="5"/>
      <c r="D170" s="3"/>
      <c r="E170" s="3"/>
      <c r="F170" s="23">
        <f t="shared" si="5"/>
        <v>0</v>
      </c>
      <c r="G170" s="2"/>
      <c r="H170" s="2"/>
      <c r="I170" t="str">
        <f>IF(C170="","",IF(F170=0,"Paid",IF(C170&lt;'09_SETTINGS'!$I$8,"Overdue",IF(C170-'09_SETTINGS'!$I$5&lt;='09_SETTINGS'!$I$8,"Upcoming","Scheduled"))))</f>
        <v/>
      </c>
      <c r="J170" s="6"/>
    </row>
    <row r="171" spans="1:10">
      <c r="A171" s="2"/>
      <c r="B171" s="5"/>
      <c r="C171" s="5"/>
      <c r="D171" s="3"/>
      <c r="E171" s="3"/>
      <c r="F171" s="23">
        <f t="shared" si="5"/>
        <v>0</v>
      </c>
      <c r="G171" s="2"/>
      <c r="H171" s="2"/>
      <c r="I171" t="str">
        <f>IF(C171="","",IF(F171=0,"Paid",IF(C171&lt;'09_SETTINGS'!$I$8,"Overdue",IF(C171-'09_SETTINGS'!$I$5&lt;='09_SETTINGS'!$I$8,"Upcoming","Scheduled"))))</f>
        <v/>
      </c>
      <c r="J171" s="6"/>
    </row>
    <row r="172" spans="1:10">
      <c r="A172" s="2"/>
      <c r="B172" s="5"/>
      <c r="C172" s="5"/>
      <c r="D172" s="3"/>
      <c r="E172" s="3"/>
      <c r="F172" s="23">
        <f t="shared" si="5"/>
        <v>0</v>
      </c>
      <c r="G172" s="2"/>
      <c r="H172" s="2"/>
      <c r="I172" t="str">
        <f>IF(C172="","",IF(F172=0,"Paid",IF(C172&lt;'09_SETTINGS'!$I$8,"Overdue",IF(C172-'09_SETTINGS'!$I$5&lt;='09_SETTINGS'!$I$8,"Upcoming","Scheduled"))))</f>
        <v/>
      </c>
      <c r="J172" s="6"/>
    </row>
    <row r="173" spans="1:10">
      <c r="A173" s="2"/>
      <c r="B173" s="5"/>
      <c r="C173" s="5"/>
      <c r="D173" s="3"/>
      <c r="E173" s="3"/>
      <c r="F173" s="23">
        <f t="shared" si="5"/>
        <v>0</v>
      </c>
      <c r="G173" s="2"/>
      <c r="H173" s="2"/>
      <c r="I173" t="str">
        <f>IF(C173="","",IF(F173=0,"Paid",IF(C173&lt;'09_SETTINGS'!$I$8,"Overdue",IF(C173-'09_SETTINGS'!$I$5&lt;='09_SETTINGS'!$I$8,"Upcoming","Scheduled"))))</f>
        <v/>
      </c>
      <c r="J173" s="6"/>
    </row>
    <row r="174" spans="1:10">
      <c r="A174" s="2"/>
      <c r="B174" s="5"/>
      <c r="C174" s="5"/>
      <c r="D174" s="3"/>
      <c r="E174" s="3"/>
      <c r="F174" s="23">
        <f t="shared" si="5"/>
        <v>0</v>
      </c>
      <c r="G174" s="2"/>
      <c r="H174" s="2"/>
      <c r="I174" t="str">
        <f>IF(C174="","",IF(F174=0,"Paid",IF(C174&lt;'09_SETTINGS'!$I$8,"Overdue",IF(C174-'09_SETTINGS'!$I$5&lt;='09_SETTINGS'!$I$8,"Upcoming","Scheduled"))))</f>
        <v/>
      </c>
      <c r="J174" s="6"/>
    </row>
    <row r="175" spans="1:10">
      <c r="A175" s="2"/>
      <c r="B175" s="5"/>
      <c r="C175" s="5"/>
      <c r="D175" s="3"/>
      <c r="E175" s="3"/>
      <c r="F175" s="23">
        <f t="shared" si="5"/>
        <v>0</v>
      </c>
      <c r="G175" s="2"/>
      <c r="H175" s="2"/>
      <c r="I175" t="str">
        <f>IF(C175="","",IF(F175=0,"Paid",IF(C175&lt;'09_SETTINGS'!$I$8,"Overdue",IF(C175-'09_SETTINGS'!$I$5&lt;='09_SETTINGS'!$I$8,"Upcoming","Scheduled"))))</f>
        <v/>
      </c>
      <c r="J175" s="6"/>
    </row>
    <row r="176" spans="1:10">
      <c r="A176" s="2"/>
      <c r="B176" s="5"/>
      <c r="C176" s="5"/>
      <c r="D176" s="3"/>
      <c r="E176" s="3"/>
      <c r="F176" s="23">
        <f t="shared" si="5"/>
        <v>0</v>
      </c>
      <c r="G176" s="2"/>
      <c r="H176" s="2"/>
      <c r="I176" t="str">
        <f>IF(C176="","",IF(F176=0,"Paid",IF(C176&lt;'09_SETTINGS'!$I$8,"Overdue",IF(C176-'09_SETTINGS'!$I$5&lt;='09_SETTINGS'!$I$8,"Upcoming","Scheduled"))))</f>
        <v/>
      </c>
      <c r="J176" s="6"/>
    </row>
    <row r="177" spans="1:10">
      <c r="A177" s="2"/>
      <c r="B177" s="5"/>
      <c r="C177" s="5"/>
      <c r="D177" s="3"/>
      <c r="E177" s="3"/>
      <c r="F177" s="23">
        <f t="shared" si="5"/>
        <v>0</v>
      </c>
      <c r="G177" s="2"/>
      <c r="H177" s="2"/>
      <c r="I177" t="str">
        <f>IF(C177="","",IF(F177=0,"Paid",IF(C177&lt;'09_SETTINGS'!$I$8,"Overdue",IF(C177-'09_SETTINGS'!$I$5&lt;='09_SETTINGS'!$I$8,"Upcoming","Scheduled"))))</f>
        <v/>
      </c>
      <c r="J177" s="6"/>
    </row>
    <row r="178" spans="1:10">
      <c r="A178" s="2"/>
      <c r="B178" s="5"/>
      <c r="C178" s="5"/>
      <c r="D178" s="3"/>
      <c r="E178" s="3"/>
      <c r="F178" s="23">
        <f t="shared" si="5"/>
        <v>0</v>
      </c>
      <c r="G178" s="2"/>
      <c r="H178" s="2"/>
      <c r="I178" t="str">
        <f>IF(C178="","",IF(F178=0,"Paid",IF(C178&lt;'09_SETTINGS'!$I$8,"Overdue",IF(C178-'09_SETTINGS'!$I$5&lt;='09_SETTINGS'!$I$8,"Upcoming","Scheduled"))))</f>
        <v/>
      </c>
      <c r="J178" s="6"/>
    </row>
    <row r="179" spans="1:10">
      <c r="A179" s="2"/>
      <c r="B179" s="5"/>
      <c r="C179" s="5"/>
      <c r="D179" s="3"/>
      <c r="E179" s="3"/>
      <c r="F179" s="23">
        <f t="shared" si="5"/>
        <v>0</v>
      </c>
      <c r="G179" s="2"/>
      <c r="H179" s="2"/>
      <c r="I179" t="str">
        <f>IF(C179="","",IF(F179=0,"Paid",IF(C179&lt;'09_SETTINGS'!$I$8,"Overdue",IF(C179-'09_SETTINGS'!$I$5&lt;='09_SETTINGS'!$I$8,"Upcoming","Scheduled"))))</f>
        <v/>
      </c>
      <c r="J179" s="6"/>
    </row>
    <row r="180" spans="1:10">
      <c r="A180" s="2"/>
      <c r="B180" s="5"/>
      <c r="C180" s="5"/>
      <c r="D180" s="3"/>
      <c r="E180" s="3"/>
      <c r="F180" s="23">
        <f t="shared" si="5"/>
        <v>0</v>
      </c>
      <c r="G180" s="2"/>
      <c r="H180" s="2"/>
      <c r="I180" t="str">
        <f>IF(C180="","",IF(F180=0,"Paid",IF(C180&lt;'09_SETTINGS'!$I$8,"Overdue",IF(C180-'09_SETTINGS'!$I$5&lt;='09_SETTINGS'!$I$8,"Upcoming","Scheduled"))))</f>
        <v/>
      </c>
      <c r="J180" s="6"/>
    </row>
    <row r="181" spans="1:10">
      <c r="A181" s="2"/>
      <c r="B181" s="5"/>
      <c r="C181" s="5"/>
      <c r="D181" s="3"/>
      <c r="E181" s="3"/>
      <c r="F181" s="23">
        <f t="shared" si="5"/>
        <v>0</v>
      </c>
      <c r="G181" s="2"/>
      <c r="H181" s="2"/>
      <c r="I181" t="str">
        <f>IF(C181="","",IF(F181=0,"Paid",IF(C181&lt;'09_SETTINGS'!$I$8,"Overdue",IF(C181-'09_SETTINGS'!$I$5&lt;='09_SETTINGS'!$I$8,"Upcoming","Scheduled"))))</f>
        <v/>
      </c>
      <c r="J181" s="6"/>
    </row>
    <row r="182" spans="1:10">
      <c r="A182" s="2"/>
      <c r="B182" s="5"/>
      <c r="C182" s="5"/>
      <c r="D182" s="3"/>
      <c r="E182" s="3"/>
      <c r="F182" s="23">
        <f t="shared" si="5"/>
        <v>0</v>
      </c>
      <c r="G182" s="2"/>
      <c r="H182" s="2"/>
      <c r="I182" t="str">
        <f>IF(C182="","",IF(F182=0,"Paid",IF(C182&lt;'09_SETTINGS'!$I$8,"Overdue",IF(C182-'09_SETTINGS'!$I$5&lt;='09_SETTINGS'!$I$8,"Upcoming","Scheduled"))))</f>
        <v/>
      </c>
      <c r="J182" s="6"/>
    </row>
    <row r="183" spans="1:10">
      <c r="A183" s="2"/>
      <c r="B183" s="5"/>
      <c r="C183" s="5"/>
      <c r="D183" s="3"/>
      <c r="E183" s="3"/>
      <c r="F183" s="23">
        <f t="shared" si="5"/>
        <v>0</v>
      </c>
      <c r="G183" s="2"/>
      <c r="H183" s="2"/>
      <c r="I183" t="str">
        <f>IF(C183="","",IF(F183=0,"Paid",IF(C183&lt;'09_SETTINGS'!$I$8,"Overdue",IF(C183-'09_SETTINGS'!$I$5&lt;='09_SETTINGS'!$I$8,"Upcoming","Scheduled"))))</f>
        <v/>
      </c>
      <c r="J183" s="6"/>
    </row>
    <row r="184" spans="1:10">
      <c r="A184" s="2"/>
      <c r="B184" s="5"/>
      <c r="C184" s="5"/>
      <c r="D184" s="3"/>
      <c r="E184" s="3"/>
      <c r="F184" s="23">
        <f t="shared" si="5"/>
        <v>0</v>
      </c>
      <c r="G184" s="2"/>
      <c r="H184" s="2"/>
      <c r="I184" t="str">
        <f>IF(C184="","",IF(F184=0,"Paid",IF(C184&lt;'09_SETTINGS'!$I$8,"Overdue",IF(C184-'09_SETTINGS'!$I$5&lt;='09_SETTINGS'!$I$8,"Upcoming","Scheduled"))))</f>
        <v/>
      </c>
      <c r="J184" s="6"/>
    </row>
    <row r="185" spans="1:10">
      <c r="A185" s="2"/>
      <c r="B185" s="5"/>
      <c r="C185" s="5"/>
      <c r="D185" s="3"/>
      <c r="E185" s="3"/>
      <c r="F185" s="23">
        <f t="shared" si="5"/>
        <v>0</v>
      </c>
      <c r="G185" s="2"/>
      <c r="H185" s="2"/>
      <c r="I185" t="str">
        <f>IF(C185="","",IF(F185=0,"Paid",IF(C185&lt;'09_SETTINGS'!$I$8,"Overdue",IF(C185-'09_SETTINGS'!$I$5&lt;='09_SETTINGS'!$I$8,"Upcoming","Scheduled"))))</f>
        <v/>
      </c>
      <c r="J185" s="6"/>
    </row>
    <row r="186" spans="1:10">
      <c r="A186" s="2"/>
      <c r="B186" s="5"/>
      <c r="C186" s="5"/>
      <c r="D186" s="3"/>
      <c r="E186" s="3"/>
      <c r="F186" s="23">
        <f t="shared" si="5"/>
        <v>0</v>
      </c>
      <c r="G186" s="2"/>
      <c r="H186" s="2"/>
      <c r="I186" t="str">
        <f>IF(C186="","",IF(F186=0,"Paid",IF(C186&lt;'09_SETTINGS'!$I$8,"Overdue",IF(C186-'09_SETTINGS'!$I$5&lt;='09_SETTINGS'!$I$8,"Upcoming","Scheduled"))))</f>
        <v/>
      </c>
      <c r="J186" s="6"/>
    </row>
    <row r="187" spans="1:10">
      <c r="A187" s="2"/>
      <c r="B187" s="5"/>
      <c r="C187" s="5"/>
      <c r="D187" s="3"/>
      <c r="E187" s="3"/>
      <c r="F187" s="23">
        <f t="shared" si="5"/>
        <v>0</v>
      </c>
      <c r="G187" s="2"/>
      <c r="H187" s="2"/>
      <c r="I187" t="str">
        <f>IF(C187="","",IF(F187=0,"Paid",IF(C187&lt;'09_SETTINGS'!$I$8,"Overdue",IF(C187-'09_SETTINGS'!$I$5&lt;='09_SETTINGS'!$I$8,"Upcoming","Scheduled"))))</f>
        <v/>
      </c>
      <c r="J187" s="6"/>
    </row>
    <row r="188" spans="1:10">
      <c r="A188" s="2"/>
      <c r="B188" s="5"/>
      <c r="C188" s="5"/>
      <c r="D188" s="3"/>
      <c r="E188" s="3"/>
      <c r="F188" s="23">
        <f t="shared" si="5"/>
        <v>0</v>
      </c>
      <c r="G188" s="2"/>
      <c r="H188" s="2"/>
      <c r="I188" t="str">
        <f>IF(C188="","",IF(F188=0,"Paid",IF(C188&lt;'09_SETTINGS'!$I$8,"Overdue",IF(C188-'09_SETTINGS'!$I$5&lt;='09_SETTINGS'!$I$8,"Upcoming","Scheduled"))))</f>
        <v/>
      </c>
      <c r="J188" s="6"/>
    </row>
    <row r="189" spans="1:10">
      <c r="A189" s="2"/>
      <c r="B189" s="5"/>
      <c r="C189" s="5"/>
      <c r="D189" s="3"/>
      <c r="E189" s="3"/>
      <c r="F189" s="23">
        <f t="shared" si="5"/>
        <v>0</v>
      </c>
      <c r="G189" s="2"/>
      <c r="H189" s="2"/>
      <c r="I189" t="str">
        <f>IF(C189="","",IF(F189=0,"Paid",IF(C189&lt;'09_SETTINGS'!$I$8,"Overdue",IF(C189-'09_SETTINGS'!$I$5&lt;='09_SETTINGS'!$I$8,"Upcoming","Scheduled"))))</f>
        <v/>
      </c>
      <c r="J189" s="6"/>
    </row>
    <row r="190" spans="1:10">
      <c r="A190" s="2"/>
      <c r="B190" s="5"/>
      <c r="C190" s="5"/>
      <c r="D190" s="3"/>
      <c r="E190" s="3"/>
      <c r="F190" s="23">
        <f t="shared" si="5"/>
        <v>0</v>
      </c>
      <c r="G190" s="2"/>
      <c r="H190" s="2"/>
      <c r="I190" t="str">
        <f>IF(C190="","",IF(F190=0,"Paid",IF(C190&lt;'09_SETTINGS'!$I$8,"Overdue",IF(C190-'09_SETTINGS'!$I$5&lt;='09_SETTINGS'!$I$8,"Upcoming","Scheduled"))))</f>
        <v/>
      </c>
      <c r="J190" s="6"/>
    </row>
    <row r="191" spans="1:10">
      <c r="A191" s="2"/>
      <c r="B191" s="5"/>
      <c r="C191" s="5"/>
      <c r="D191" s="3"/>
      <c r="E191" s="3"/>
      <c r="F191" s="23">
        <f t="shared" si="5"/>
        <v>0</v>
      </c>
      <c r="G191" s="2"/>
      <c r="H191" s="2"/>
      <c r="I191" t="str">
        <f>IF(C191="","",IF(F191=0,"Paid",IF(C191&lt;'09_SETTINGS'!$I$8,"Overdue",IF(C191-'09_SETTINGS'!$I$5&lt;='09_SETTINGS'!$I$8,"Upcoming","Scheduled"))))</f>
        <v/>
      </c>
      <c r="J191" s="6"/>
    </row>
    <row r="192" spans="1:10">
      <c r="A192" s="2"/>
      <c r="B192" s="5"/>
      <c r="C192" s="5"/>
      <c r="D192" s="3"/>
      <c r="E192" s="3"/>
      <c r="F192" s="23">
        <f t="shared" si="5"/>
        <v>0</v>
      </c>
      <c r="G192" s="2"/>
      <c r="H192" s="2"/>
      <c r="I192" t="str">
        <f>IF(C192="","",IF(F192=0,"Paid",IF(C192&lt;'09_SETTINGS'!$I$8,"Overdue",IF(C192-'09_SETTINGS'!$I$5&lt;='09_SETTINGS'!$I$8,"Upcoming","Scheduled"))))</f>
        <v/>
      </c>
      <c r="J192" s="6"/>
    </row>
    <row r="193" spans="1:10">
      <c r="A193" s="2"/>
      <c r="B193" s="5"/>
      <c r="C193" s="5"/>
      <c r="D193" s="3"/>
      <c r="E193" s="3"/>
      <c r="F193" s="23">
        <f t="shared" si="5"/>
        <v>0</v>
      </c>
      <c r="G193" s="2"/>
      <c r="H193" s="2"/>
      <c r="I193" t="str">
        <f>IF(C193="","",IF(F193=0,"Paid",IF(C193&lt;'09_SETTINGS'!$I$8,"Overdue",IF(C193-'09_SETTINGS'!$I$5&lt;='09_SETTINGS'!$I$8,"Upcoming","Scheduled"))))</f>
        <v/>
      </c>
      <c r="J193" s="6"/>
    </row>
    <row r="194" spans="1:10">
      <c r="A194" s="2"/>
      <c r="B194" s="5"/>
      <c r="C194" s="5"/>
      <c r="D194" s="3"/>
      <c r="E194" s="3"/>
      <c r="F194" s="23">
        <f t="shared" si="5"/>
        <v>0</v>
      </c>
      <c r="G194" s="2"/>
      <c r="H194" s="2"/>
      <c r="I194" t="str">
        <f>IF(C194="","",IF(F194=0,"Paid",IF(C194&lt;'09_SETTINGS'!$I$8,"Overdue",IF(C194-'09_SETTINGS'!$I$5&lt;='09_SETTINGS'!$I$8,"Upcoming","Scheduled"))))</f>
        <v/>
      </c>
      <c r="J194" s="6"/>
    </row>
    <row r="195" spans="1:10">
      <c r="A195" s="2"/>
      <c r="B195" s="5"/>
      <c r="C195" s="5"/>
      <c r="D195" s="3"/>
      <c r="E195" s="3"/>
      <c r="F195" s="23">
        <f t="shared" si="5"/>
        <v>0</v>
      </c>
      <c r="G195" s="2"/>
      <c r="H195" s="2"/>
      <c r="I195" t="str">
        <f>IF(C195="","",IF(F195=0,"Paid",IF(C195&lt;'09_SETTINGS'!$I$8,"Overdue",IF(C195-'09_SETTINGS'!$I$5&lt;='09_SETTINGS'!$I$8,"Upcoming","Scheduled"))))</f>
        <v/>
      </c>
      <c r="J195" s="6"/>
    </row>
    <row r="196" spans="1:10">
      <c r="A196" s="2"/>
      <c r="B196" s="5"/>
      <c r="C196" s="5"/>
      <c r="D196" s="3"/>
      <c r="E196" s="3"/>
      <c r="F196" s="23">
        <f t="shared" ref="F196:F203" si="6">D196-E196</f>
        <v>0</v>
      </c>
      <c r="G196" s="2"/>
      <c r="H196" s="2"/>
      <c r="I196" t="str">
        <f>IF(C196="","",IF(F196=0,"Paid",IF(C196&lt;'09_SETTINGS'!$I$8,"Overdue",IF(C196-'09_SETTINGS'!$I$5&lt;='09_SETTINGS'!$I$8,"Upcoming","Scheduled"))))</f>
        <v/>
      </c>
      <c r="J196" s="6"/>
    </row>
    <row r="197" spans="1:10">
      <c r="A197" s="2"/>
      <c r="B197" s="5"/>
      <c r="C197" s="5"/>
      <c r="D197" s="3"/>
      <c r="E197" s="3"/>
      <c r="F197" s="23">
        <f t="shared" si="6"/>
        <v>0</v>
      </c>
      <c r="G197" s="2"/>
      <c r="H197" s="2"/>
      <c r="I197" t="str">
        <f>IF(C197="","",IF(F197=0,"Paid",IF(C197&lt;'09_SETTINGS'!$I$8,"Overdue",IF(C197-'09_SETTINGS'!$I$5&lt;='09_SETTINGS'!$I$8,"Upcoming","Scheduled"))))</f>
        <v/>
      </c>
      <c r="J197" s="6"/>
    </row>
    <row r="198" spans="1:10">
      <c r="A198" s="2"/>
      <c r="B198" s="5"/>
      <c r="C198" s="5"/>
      <c r="D198" s="3"/>
      <c r="E198" s="3"/>
      <c r="F198" s="23">
        <f t="shared" si="6"/>
        <v>0</v>
      </c>
      <c r="G198" s="2"/>
      <c r="H198" s="2"/>
      <c r="I198" t="str">
        <f>IF(C198="","",IF(F198=0,"Paid",IF(C198&lt;'09_SETTINGS'!$I$8,"Overdue",IF(C198-'09_SETTINGS'!$I$5&lt;='09_SETTINGS'!$I$8,"Upcoming","Scheduled"))))</f>
        <v/>
      </c>
      <c r="J198" s="6"/>
    </row>
    <row r="199" spans="1:10">
      <c r="A199" s="2"/>
      <c r="B199" s="5"/>
      <c r="C199" s="5"/>
      <c r="D199" s="3"/>
      <c r="E199" s="3"/>
      <c r="F199" s="23">
        <f t="shared" si="6"/>
        <v>0</v>
      </c>
      <c r="G199" s="2"/>
      <c r="H199" s="2"/>
      <c r="I199" t="str">
        <f>IF(C199="","",IF(F199=0,"Paid",IF(C199&lt;'09_SETTINGS'!$I$8,"Overdue",IF(C199-'09_SETTINGS'!$I$5&lt;='09_SETTINGS'!$I$8,"Upcoming","Scheduled"))))</f>
        <v/>
      </c>
      <c r="J199" s="6"/>
    </row>
    <row r="200" spans="1:10">
      <c r="A200" s="2"/>
      <c r="B200" s="5"/>
      <c r="C200" s="5"/>
      <c r="D200" s="3"/>
      <c r="E200" s="3"/>
      <c r="F200" s="23">
        <f t="shared" si="6"/>
        <v>0</v>
      </c>
      <c r="G200" s="2"/>
      <c r="H200" s="2"/>
      <c r="I200" t="str">
        <f>IF(C200="","",IF(F200=0,"Paid",IF(C200&lt;'09_SETTINGS'!$I$8,"Overdue",IF(C200-'09_SETTINGS'!$I$5&lt;='09_SETTINGS'!$I$8,"Upcoming","Scheduled"))))</f>
        <v/>
      </c>
      <c r="J200" s="6"/>
    </row>
    <row r="201" spans="1:10">
      <c r="A201" s="2"/>
      <c r="B201" s="5"/>
      <c r="C201" s="5"/>
      <c r="D201" s="3"/>
      <c r="E201" s="3"/>
      <c r="F201" s="23">
        <f t="shared" si="6"/>
        <v>0</v>
      </c>
      <c r="G201" s="2"/>
      <c r="H201" s="2"/>
      <c r="I201" t="str">
        <f>IF(C201="","",IF(F201=0,"Paid",IF(C201&lt;'09_SETTINGS'!$I$8,"Overdue",IF(C201-'09_SETTINGS'!$I$5&lt;='09_SETTINGS'!$I$8,"Upcoming","Scheduled"))))</f>
        <v/>
      </c>
      <c r="J201" s="6"/>
    </row>
    <row r="202" spans="1:10">
      <c r="A202" s="2"/>
      <c r="B202" s="5"/>
      <c r="C202" s="5"/>
      <c r="D202" s="3"/>
      <c r="E202" s="3"/>
      <c r="F202" s="23">
        <f t="shared" si="6"/>
        <v>0</v>
      </c>
      <c r="G202" s="2"/>
      <c r="H202" s="2"/>
      <c r="I202" t="str">
        <f>IF(C202="","",IF(F202=0,"Paid",IF(C202&lt;'09_SETTINGS'!$I$8,"Overdue",IF(C202-'09_SETTINGS'!$I$5&lt;='09_SETTINGS'!$I$8,"Upcoming","Scheduled"))))</f>
        <v/>
      </c>
      <c r="J202" s="6"/>
    </row>
    <row r="203" spans="1:10">
      <c r="A203" s="2"/>
      <c r="B203" s="5"/>
      <c r="C203" s="5"/>
      <c r="D203" s="3"/>
      <c r="E203" s="3"/>
      <c r="F203" s="23">
        <f t="shared" si="6"/>
        <v>0</v>
      </c>
      <c r="G203" s="2"/>
      <c r="H203" s="2"/>
      <c r="I203" t="str">
        <f>IF(C203="","",IF(F203=0,"Paid",IF(C203&lt;'09_SETTINGS'!$I$8,"Overdue",IF(C203-'09_SETTINGS'!$I$5&lt;='09_SETTINGS'!$I$8,"Upcoming","Scheduled"))))</f>
        <v/>
      </c>
      <c r="J203" s="6"/>
    </row>
  </sheetData>
  <mergeCells count="1">
    <mergeCell ref="A1:J1"/>
  </mergeCells>
  <dataValidations count="1">
    <dataValidation type="list" sqref="H4:H203" xr:uid="{00000000-0002-0000-0400-000000000000}">
      <formula1>"High,Medium,Low"</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03"/>
  <sheetViews>
    <sheetView showGridLines="0" topLeftCell="AD1" workbookViewId="0">
      <selection activeCell="AF5" sqref="AF5"/>
    </sheetView>
  </sheetViews>
  <sheetFormatPr defaultRowHeight="14.25"/>
  <cols>
    <col min="1" max="1" width="25" customWidth="1"/>
    <col min="2" max="2" width="12" customWidth="1"/>
    <col min="3" max="3" width="16" customWidth="1"/>
    <col min="4" max="4" width="15" customWidth="1"/>
    <col min="5" max="7" width="14" customWidth="1"/>
    <col min="8" max="8" width="12" customWidth="1"/>
    <col min="9" max="9" width="14" customWidth="1"/>
  </cols>
  <sheetData>
    <row r="1" spans="1:9" ht="30" customHeight="1">
      <c r="A1" s="45" t="s">
        <v>197</v>
      </c>
      <c r="B1" s="45" t="s">
        <v>197</v>
      </c>
      <c r="C1" s="45" t="s">
        <v>197</v>
      </c>
      <c r="D1" s="45" t="s">
        <v>197</v>
      </c>
      <c r="E1" s="45" t="s">
        <v>197</v>
      </c>
      <c r="F1" s="45" t="s">
        <v>197</v>
      </c>
      <c r="G1" s="45" t="s">
        <v>197</v>
      </c>
      <c r="H1" s="45" t="s">
        <v>197</v>
      </c>
      <c r="I1" s="45" t="s">
        <v>197</v>
      </c>
    </row>
    <row r="3" spans="1:9" ht="15">
      <c r="A3" s="1" t="s">
        <v>198</v>
      </c>
      <c r="B3" s="1" t="s">
        <v>82</v>
      </c>
      <c r="C3" s="1" t="s">
        <v>83</v>
      </c>
      <c r="D3" s="1" t="s">
        <v>46</v>
      </c>
      <c r="E3" s="1" t="s">
        <v>199</v>
      </c>
      <c r="F3" s="1" t="s">
        <v>200</v>
      </c>
      <c r="G3" s="1" t="s">
        <v>201</v>
      </c>
      <c r="H3" s="1" t="s">
        <v>202</v>
      </c>
      <c r="I3" s="1" t="s">
        <v>203</v>
      </c>
    </row>
    <row r="4" spans="1:9">
      <c r="A4" t="s">
        <v>204</v>
      </c>
      <c r="B4" t="s">
        <v>34</v>
      </c>
      <c r="C4" t="s">
        <v>49</v>
      </c>
      <c r="D4" s="10">
        <v>25000</v>
      </c>
      <c r="E4" t="s">
        <v>205</v>
      </c>
      <c r="F4" s="9">
        <v>46113</v>
      </c>
      <c r="G4" s="9">
        <v>46266</v>
      </c>
      <c r="H4" t="s">
        <v>206</v>
      </c>
      <c r="I4" t="s">
        <v>191</v>
      </c>
    </row>
    <row r="5" spans="1:9">
      <c r="A5" t="s">
        <v>107</v>
      </c>
      <c r="B5" t="s">
        <v>34</v>
      </c>
      <c r="C5" t="s">
        <v>56</v>
      </c>
      <c r="D5" s="10">
        <v>4200</v>
      </c>
      <c r="E5" t="s">
        <v>205</v>
      </c>
      <c r="F5" s="9">
        <v>46127</v>
      </c>
      <c r="G5" s="9">
        <v>46280</v>
      </c>
      <c r="H5" t="s">
        <v>206</v>
      </c>
      <c r="I5" t="s">
        <v>191</v>
      </c>
    </row>
    <row r="6" spans="1:9">
      <c r="A6" t="s">
        <v>207</v>
      </c>
      <c r="B6" t="s">
        <v>33</v>
      </c>
      <c r="C6" t="s">
        <v>92</v>
      </c>
      <c r="D6" s="10">
        <v>120000</v>
      </c>
      <c r="E6" t="s">
        <v>205</v>
      </c>
      <c r="F6" s="9">
        <v>46117</v>
      </c>
      <c r="G6" s="9">
        <v>46270</v>
      </c>
      <c r="H6" t="s">
        <v>206</v>
      </c>
      <c r="I6" t="s">
        <v>191</v>
      </c>
    </row>
    <row r="7" spans="1:9">
      <c r="A7" t="s">
        <v>102</v>
      </c>
      <c r="B7" t="s">
        <v>34</v>
      </c>
      <c r="C7" t="s">
        <v>48</v>
      </c>
      <c r="D7" s="10">
        <v>75000</v>
      </c>
      <c r="E7" t="s">
        <v>205</v>
      </c>
      <c r="F7" s="9">
        <v>46115</v>
      </c>
      <c r="G7" s="9">
        <v>46268</v>
      </c>
      <c r="H7" t="s">
        <v>206</v>
      </c>
      <c r="I7" t="s">
        <v>191</v>
      </c>
    </row>
    <row r="8" spans="1:9">
      <c r="A8" t="s">
        <v>208</v>
      </c>
      <c r="B8" t="s">
        <v>34</v>
      </c>
      <c r="C8" t="s">
        <v>50</v>
      </c>
      <c r="D8" s="10">
        <v>18000</v>
      </c>
      <c r="E8" t="s">
        <v>205</v>
      </c>
      <c r="F8" s="9">
        <v>46122</v>
      </c>
      <c r="G8" s="9">
        <v>46275</v>
      </c>
      <c r="H8" t="s">
        <v>206</v>
      </c>
      <c r="I8" t="s">
        <v>193</v>
      </c>
    </row>
    <row r="9" spans="1:9">
      <c r="A9" t="s">
        <v>209</v>
      </c>
      <c r="B9" t="s">
        <v>33</v>
      </c>
      <c r="C9" t="s">
        <v>92</v>
      </c>
      <c r="D9" s="10">
        <v>35000</v>
      </c>
      <c r="E9" t="s">
        <v>205</v>
      </c>
      <c r="F9" s="9">
        <v>46154</v>
      </c>
      <c r="G9" s="9">
        <v>46277</v>
      </c>
      <c r="H9" t="s">
        <v>206</v>
      </c>
      <c r="I9" t="s">
        <v>193</v>
      </c>
    </row>
    <row r="10" spans="1:9">
      <c r="A10" s="2"/>
      <c r="B10" s="2"/>
      <c r="C10" s="2"/>
      <c r="D10" s="3"/>
      <c r="E10" s="2"/>
      <c r="F10" s="5"/>
      <c r="G10" s="5"/>
      <c r="H10" s="2"/>
      <c r="I10" s="2"/>
    </row>
    <row r="11" spans="1:9">
      <c r="A11" s="2"/>
      <c r="B11" s="2"/>
      <c r="C11" s="2"/>
      <c r="D11" s="3"/>
      <c r="E11" s="2"/>
      <c r="F11" s="5"/>
      <c r="G11" s="5"/>
      <c r="H11" s="2"/>
      <c r="I11" s="2"/>
    </row>
    <row r="12" spans="1:9">
      <c r="A12" s="2"/>
      <c r="B12" s="2"/>
      <c r="C12" s="2"/>
      <c r="D12" s="3"/>
      <c r="E12" s="2"/>
      <c r="F12" s="5"/>
      <c r="G12" s="5"/>
      <c r="H12" s="2"/>
      <c r="I12" s="2"/>
    </row>
    <row r="13" spans="1:9">
      <c r="A13" s="2"/>
      <c r="B13" s="2"/>
      <c r="C13" s="2"/>
      <c r="D13" s="3"/>
      <c r="E13" s="2"/>
      <c r="F13" s="5"/>
      <c r="G13" s="5"/>
      <c r="H13" s="2"/>
      <c r="I13" s="2"/>
    </row>
    <row r="14" spans="1:9">
      <c r="A14" s="2"/>
      <c r="B14" s="2"/>
      <c r="C14" s="2"/>
      <c r="D14" s="3"/>
      <c r="E14" s="2"/>
      <c r="F14" s="5"/>
      <c r="G14" s="5"/>
      <c r="H14" s="2"/>
      <c r="I14" s="2"/>
    </row>
    <row r="15" spans="1:9">
      <c r="A15" s="2"/>
      <c r="B15" s="2"/>
      <c r="C15" s="2"/>
      <c r="D15" s="3"/>
      <c r="E15" s="2"/>
      <c r="F15" s="5"/>
      <c r="G15" s="5"/>
      <c r="H15" s="2"/>
      <c r="I15" s="2"/>
    </row>
    <row r="16" spans="1:9">
      <c r="A16" s="2"/>
      <c r="B16" s="2"/>
      <c r="C16" s="2"/>
      <c r="D16" s="3"/>
      <c r="E16" s="2"/>
      <c r="F16" s="5"/>
      <c r="G16" s="5"/>
      <c r="H16" s="2"/>
      <c r="I16" s="2"/>
    </row>
    <row r="17" spans="1:9">
      <c r="A17" s="2"/>
      <c r="B17" s="2"/>
      <c r="C17" s="2"/>
      <c r="D17" s="3"/>
      <c r="E17" s="2"/>
      <c r="F17" s="5"/>
      <c r="G17" s="5"/>
      <c r="H17" s="2"/>
      <c r="I17" s="2"/>
    </row>
    <row r="18" spans="1:9">
      <c r="A18" s="2"/>
      <c r="B18" s="2"/>
      <c r="C18" s="2"/>
      <c r="D18" s="3"/>
      <c r="E18" s="2"/>
      <c r="F18" s="5"/>
      <c r="G18" s="5"/>
      <c r="H18" s="2"/>
      <c r="I18" s="2"/>
    </row>
    <row r="19" spans="1:9">
      <c r="A19" s="2"/>
      <c r="B19" s="2"/>
      <c r="C19" s="2"/>
      <c r="D19" s="3"/>
      <c r="E19" s="2"/>
      <c r="F19" s="5"/>
      <c r="G19" s="5"/>
      <c r="H19" s="2"/>
      <c r="I19" s="2"/>
    </row>
    <row r="20" spans="1:9">
      <c r="A20" s="2"/>
      <c r="B20" s="2"/>
      <c r="C20" s="2"/>
      <c r="D20" s="3"/>
      <c r="E20" s="2"/>
      <c r="F20" s="5"/>
      <c r="G20" s="5"/>
      <c r="H20" s="2"/>
      <c r="I20" s="2"/>
    </row>
    <row r="21" spans="1:9">
      <c r="A21" s="2"/>
      <c r="B21" s="2"/>
      <c r="C21" s="2"/>
      <c r="D21" s="3"/>
      <c r="E21" s="2"/>
      <c r="F21" s="5"/>
      <c r="G21" s="5"/>
      <c r="H21" s="2"/>
      <c r="I21" s="2"/>
    </row>
    <row r="22" spans="1:9">
      <c r="A22" s="2"/>
      <c r="B22" s="2"/>
      <c r="C22" s="2"/>
      <c r="D22" s="3"/>
      <c r="E22" s="2"/>
      <c r="F22" s="5"/>
      <c r="G22" s="5"/>
      <c r="H22" s="2"/>
      <c r="I22" s="2"/>
    </row>
    <row r="23" spans="1:9">
      <c r="A23" s="2"/>
      <c r="B23" s="2"/>
      <c r="C23" s="2"/>
      <c r="D23" s="3"/>
      <c r="E23" s="2"/>
      <c r="F23" s="5"/>
      <c r="G23" s="5"/>
      <c r="H23" s="2"/>
      <c r="I23" s="2"/>
    </row>
    <row r="24" spans="1:9">
      <c r="A24" s="2"/>
      <c r="B24" s="2"/>
      <c r="C24" s="2"/>
      <c r="D24" s="3"/>
      <c r="E24" s="2"/>
      <c r="F24" s="5"/>
      <c r="G24" s="5"/>
      <c r="H24" s="2"/>
      <c r="I24" s="2"/>
    </row>
    <row r="25" spans="1:9">
      <c r="A25" s="2"/>
      <c r="B25" s="2"/>
      <c r="C25" s="2"/>
      <c r="D25" s="3"/>
      <c r="E25" s="2"/>
      <c r="F25" s="5"/>
      <c r="G25" s="5"/>
      <c r="H25" s="2"/>
      <c r="I25" s="2"/>
    </row>
    <row r="26" spans="1:9">
      <c r="A26" s="2"/>
      <c r="B26" s="2"/>
      <c r="C26" s="2"/>
      <c r="D26" s="3"/>
      <c r="E26" s="2"/>
      <c r="F26" s="5"/>
      <c r="G26" s="5"/>
      <c r="H26" s="2"/>
      <c r="I26" s="2"/>
    </row>
    <row r="27" spans="1:9">
      <c r="A27" s="2"/>
      <c r="B27" s="2"/>
      <c r="C27" s="2"/>
      <c r="D27" s="3"/>
      <c r="E27" s="2"/>
      <c r="F27" s="5"/>
      <c r="G27" s="5"/>
      <c r="H27" s="2"/>
      <c r="I27" s="2"/>
    </row>
    <row r="28" spans="1:9">
      <c r="A28" s="2"/>
      <c r="B28" s="2"/>
      <c r="C28" s="2"/>
      <c r="D28" s="3"/>
      <c r="E28" s="2"/>
      <c r="F28" s="5"/>
      <c r="G28" s="5"/>
      <c r="H28" s="2"/>
      <c r="I28" s="2"/>
    </row>
    <row r="29" spans="1:9">
      <c r="A29" s="2"/>
      <c r="B29" s="2"/>
      <c r="C29" s="2"/>
      <c r="D29" s="3"/>
      <c r="E29" s="2"/>
      <c r="F29" s="5"/>
      <c r="G29" s="5"/>
      <c r="H29" s="2"/>
      <c r="I29" s="2"/>
    </row>
    <row r="30" spans="1:9">
      <c r="A30" s="2"/>
      <c r="B30" s="2"/>
      <c r="C30" s="2"/>
      <c r="D30" s="3"/>
      <c r="E30" s="2"/>
      <c r="F30" s="5"/>
      <c r="G30" s="5"/>
      <c r="H30" s="2"/>
      <c r="I30" s="2"/>
    </row>
    <row r="31" spans="1:9">
      <c r="A31" s="2"/>
      <c r="B31" s="2"/>
      <c r="C31" s="2"/>
      <c r="D31" s="3"/>
      <c r="E31" s="2"/>
      <c r="F31" s="5"/>
      <c r="G31" s="5"/>
      <c r="H31" s="2"/>
      <c r="I31" s="2"/>
    </row>
    <row r="32" spans="1:9">
      <c r="A32" s="2"/>
      <c r="B32" s="2"/>
      <c r="C32" s="2"/>
      <c r="D32" s="3"/>
      <c r="E32" s="2"/>
      <c r="F32" s="5"/>
      <c r="G32" s="5"/>
      <c r="H32" s="2"/>
      <c r="I32" s="2"/>
    </row>
    <row r="33" spans="1:9">
      <c r="A33" s="2"/>
      <c r="B33" s="2"/>
      <c r="C33" s="2"/>
      <c r="D33" s="3"/>
      <c r="E33" s="2"/>
      <c r="F33" s="5"/>
      <c r="G33" s="5"/>
      <c r="H33" s="2"/>
      <c r="I33" s="2"/>
    </row>
    <row r="34" spans="1:9">
      <c r="A34" s="2"/>
      <c r="B34" s="2"/>
      <c r="C34" s="2"/>
      <c r="D34" s="3"/>
      <c r="E34" s="2"/>
      <c r="F34" s="5"/>
      <c r="G34" s="5"/>
      <c r="H34" s="2"/>
      <c r="I34" s="2"/>
    </row>
    <row r="35" spans="1:9">
      <c r="A35" s="2"/>
      <c r="B35" s="2"/>
      <c r="C35" s="2"/>
      <c r="D35" s="3"/>
      <c r="E35" s="2"/>
      <c r="F35" s="5"/>
      <c r="G35" s="5"/>
      <c r="H35" s="2"/>
      <c r="I35" s="2"/>
    </row>
    <row r="36" spans="1:9">
      <c r="A36" s="2"/>
      <c r="B36" s="2"/>
      <c r="C36" s="2"/>
      <c r="D36" s="3"/>
      <c r="E36" s="2"/>
      <c r="F36" s="5"/>
      <c r="G36" s="5"/>
      <c r="H36" s="2"/>
      <c r="I36" s="2"/>
    </row>
    <row r="37" spans="1:9">
      <c r="A37" s="2"/>
      <c r="B37" s="2"/>
      <c r="C37" s="2"/>
      <c r="D37" s="3"/>
      <c r="E37" s="2"/>
      <c r="F37" s="5"/>
      <c r="G37" s="5"/>
      <c r="H37" s="2"/>
      <c r="I37" s="2"/>
    </row>
    <row r="38" spans="1:9">
      <c r="A38" s="2"/>
      <c r="B38" s="2"/>
      <c r="C38" s="2"/>
      <c r="D38" s="3"/>
      <c r="E38" s="2"/>
      <c r="F38" s="5"/>
      <c r="G38" s="5"/>
      <c r="H38" s="2"/>
      <c r="I38" s="2"/>
    </row>
    <row r="39" spans="1:9">
      <c r="A39" s="2"/>
      <c r="B39" s="2"/>
      <c r="C39" s="2"/>
      <c r="D39" s="3"/>
      <c r="E39" s="2"/>
      <c r="F39" s="5"/>
      <c r="G39" s="5"/>
      <c r="H39" s="2"/>
      <c r="I39" s="2"/>
    </row>
    <row r="40" spans="1:9">
      <c r="A40" s="2"/>
      <c r="B40" s="2"/>
      <c r="C40" s="2"/>
      <c r="D40" s="3"/>
      <c r="E40" s="2"/>
      <c r="F40" s="5"/>
      <c r="G40" s="5"/>
      <c r="H40" s="2"/>
      <c r="I40" s="2"/>
    </row>
    <row r="41" spans="1:9">
      <c r="A41" s="2"/>
      <c r="B41" s="2"/>
      <c r="C41" s="2"/>
      <c r="D41" s="3"/>
      <c r="E41" s="2"/>
      <c r="F41" s="5"/>
      <c r="G41" s="5"/>
      <c r="H41" s="2"/>
      <c r="I41" s="2"/>
    </row>
    <row r="42" spans="1:9">
      <c r="A42" s="2"/>
      <c r="B42" s="2"/>
      <c r="C42" s="2"/>
      <c r="D42" s="3"/>
      <c r="E42" s="2"/>
      <c r="F42" s="5"/>
      <c r="G42" s="5"/>
      <c r="H42" s="2"/>
      <c r="I42" s="2"/>
    </row>
    <row r="43" spans="1:9">
      <c r="A43" s="2"/>
      <c r="B43" s="2"/>
      <c r="C43" s="2"/>
      <c r="D43" s="3"/>
      <c r="E43" s="2"/>
      <c r="F43" s="5"/>
      <c r="G43" s="5"/>
      <c r="H43" s="2"/>
      <c r="I43" s="2"/>
    </row>
    <row r="44" spans="1:9">
      <c r="A44" s="2"/>
      <c r="B44" s="2"/>
      <c r="C44" s="2"/>
      <c r="D44" s="3"/>
      <c r="E44" s="2"/>
      <c r="F44" s="5"/>
      <c r="G44" s="5"/>
      <c r="H44" s="2"/>
      <c r="I44" s="2"/>
    </row>
    <row r="45" spans="1:9">
      <c r="A45" s="2"/>
      <c r="B45" s="2"/>
      <c r="C45" s="2"/>
      <c r="D45" s="3"/>
      <c r="E45" s="2"/>
      <c r="F45" s="5"/>
      <c r="G45" s="5"/>
      <c r="H45" s="2"/>
      <c r="I45" s="2"/>
    </row>
    <row r="46" spans="1:9">
      <c r="A46" s="2"/>
      <c r="B46" s="2"/>
      <c r="C46" s="2"/>
      <c r="D46" s="3"/>
      <c r="E46" s="2"/>
      <c r="F46" s="5"/>
      <c r="G46" s="5"/>
      <c r="H46" s="2"/>
      <c r="I46" s="2"/>
    </row>
    <row r="47" spans="1:9">
      <c r="A47" s="2"/>
      <c r="B47" s="2"/>
      <c r="C47" s="2"/>
      <c r="D47" s="3"/>
      <c r="E47" s="2"/>
      <c r="F47" s="5"/>
      <c r="G47" s="5"/>
      <c r="H47" s="2"/>
      <c r="I47" s="2"/>
    </row>
    <row r="48" spans="1:9">
      <c r="A48" s="2"/>
      <c r="B48" s="2"/>
      <c r="C48" s="2"/>
      <c r="D48" s="3"/>
      <c r="E48" s="2"/>
      <c r="F48" s="5"/>
      <c r="G48" s="5"/>
      <c r="H48" s="2"/>
      <c r="I48" s="2"/>
    </row>
    <row r="49" spans="1:9">
      <c r="A49" s="2"/>
      <c r="B49" s="2"/>
      <c r="C49" s="2"/>
      <c r="D49" s="3"/>
      <c r="E49" s="2"/>
      <c r="F49" s="5"/>
      <c r="G49" s="5"/>
      <c r="H49" s="2"/>
      <c r="I49" s="2"/>
    </row>
    <row r="50" spans="1:9">
      <c r="A50" s="2"/>
      <c r="B50" s="2"/>
      <c r="C50" s="2"/>
      <c r="D50" s="3"/>
      <c r="E50" s="2"/>
      <c r="F50" s="5"/>
      <c r="G50" s="5"/>
      <c r="H50" s="2"/>
      <c r="I50" s="2"/>
    </row>
    <row r="51" spans="1:9">
      <c r="A51" s="2"/>
      <c r="B51" s="2"/>
      <c r="C51" s="2"/>
      <c r="D51" s="3"/>
      <c r="E51" s="2"/>
      <c r="F51" s="5"/>
      <c r="G51" s="5"/>
      <c r="H51" s="2"/>
      <c r="I51" s="2"/>
    </row>
    <row r="52" spans="1:9">
      <c r="A52" s="2"/>
      <c r="B52" s="2"/>
      <c r="C52" s="2"/>
      <c r="D52" s="3"/>
      <c r="E52" s="2"/>
      <c r="F52" s="5"/>
      <c r="G52" s="5"/>
      <c r="H52" s="2"/>
      <c r="I52" s="2"/>
    </row>
    <row r="53" spans="1:9">
      <c r="A53" s="2"/>
      <c r="B53" s="2"/>
      <c r="C53" s="2"/>
      <c r="D53" s="3"/>
      <c r="E53" s="2"/>
      <c r="F53" s="5"/>
      <c r="G53" s="5"/>
      <c r="H53" s="2"/>
      <c r="I53" s="2"/>
    </row>
    <row r="54" spans="1:9">
      <c r="A54" s="2"/>
      <c r="B54" s="2"/>
      <c r="C54" s="2"/>
      <c r="D54" s="3"/>
      <c r="E54" s="2"/>
      <c r="F54" s="5"/>
      <c r="G54" s="5"/>
      <c r="H54" s="2"/>
      <c r="I54" s="2"/>
    </row>
    <row r="55" spans="1:9">
      <c r="A55" s="2"/>
      <c r="B55" s="2"/>
      <c r="C55" s="2"/>
      <c r="D55" s="3"/>
      <c r="E55" s="2"/>
      <c r="F55" s="5"/>
      <c r="G55" s="5"/>
      <c r="H55" s="2"/>
      <c r="I55" s="2"/>
    </row>
    <row r="56" spans="1:9">
      <c r="A56" s="2"/>
      <c r="B56" s="2"/>
      <c r="C56" s="2"/>
      <c r="D56" s="3"/>
      <c r="E56" s="2"/>
      <c r="F56" s="5"/>
      <c r="G56" s="5"/>
      <c r="H56" s="2"/>
      <c r="I56" s="2"/>
    </row>
    <row r="57" spans="1:9">
      <c r="A57" s="2"/>
      <c r="B57" s="2"/>
      <c r="C57" s="2"/>
      <c r="D57" s="3"/>
      <c r="E57" s="2"/>
      <c r="F57" s="5"/>
      <c r="G57" s="5"/>
      <c r="H57" s="2"/>
      <c r="I57" s="2"/>
    </row>
    <row r="58" spans="1:9">
      <c r="A58" s="2"/>
      <c r="B58" s="2"/>
      <c r="C58" s="2"/>
      <c r="D58" s="3"/>
      <c r="E58" s="2"/>
      <c r="F58" s="5"/>
      <c r="G58" s="5"/>
      <c r="H58" s="2"/>
      <c r="I58" s="2"/>
    </row>
    <row r="59" spans="1:9">
      <c r="A59" s="2"/>
      <c r="B59" s="2"/>
      <c r="C59" s="2"/>
      <c r="D59" s="3"/>
      <c r="E59" s="2"/>
      <c r="F59" s="5"/>
      <c r="G59" s="5"/>
      <c r="H59" s="2"/>
      <c r="I59" s="2"/>
    </row>
    <row r="60" spans="1:9">
      <c r="A60" s="2"/>
      <c r="B60" s="2"/>
      <c r="C60" s="2"/>
      <c r="D60" s="3"/>
      <c r="E60" s="2"/>
      <c r="F60" s="5"/>
      <c r="G60" s="5"/>
      <c r="H60" s="2"/>
      <c r="I60" s="2"/>
    </row>
    <row r="61" spans="1:9">
      <c r="A61" s="2"/>
      <c r="B61" s="2"/>
      <c r="C61" s="2"/>
      <c r="D61" s="3"/>
      <c r="E61" s="2"/>
      <c r="F61" s="5"/>
      <c r="G61" s="5"/>
      <c r="H61" s="2"/>
      <c r="I61" s="2"/>
    </row>
    <row r="62" spans="1:9">
      <c r="A62" s="2"/>
      <c r="B62" s="2"/>
      <c r="C62" s="2"/>
      <c r="D62" s="3"/>
      <c r="E62" s="2"/>
      <c r="F62" s="5"/>
      <c r="G62" s="5"/>
      <c r="H62" s="2"/>
      <c r="I62" s="2"/>
    </row>
    <row r="63" spans="1:9">
      <c r="A63" s="2"/>
      <c r="B63" s="2"/>
      <c r="C63" s="2"/>
      <c r="D63" s="3"/>
      <c r="E63" s="2"/>
      <c r="F63" s="5"/>
      <c r="G63" s="5"/>
      <c r="H63" s="2"/>
      <c r="I63" s="2"/>
    </row>
    <row r="64" spans="1:9">
      <c r="A64" s="2"/>
      <c r="B64" s="2"/>
      <c r="C64" s="2"/>
      <c r="D64" s="3"/>
      <c r="E64" s="2"/>
      <c r="F64" s="5"/>
      <c r="G64" s="5"/>
      <c r="H64" s="2"/>
      <c r="I64" s="2"/>
    </row>
    <row r="65" spans="1:9">
      <c r="A65" s="2"/>
      <c r="B65" s="2"/>
      <c r="C65" s="2"/>
      <c r="D65" s="3"/>
      <c r="E65" s="2"/>
      <c r="F65" s="5"/>
      <c r="G65" s="5"/>
      <c r="H65" s="2"/>
      <c r="I65" s="2"/>
    </row>
    <row r="66" spans="1:9">
      <c r="A66" s="2"/>
      <c r="B66" s="2"/>
      <c r="C66" s="2"/>
      <c r="D66" s="3"/>
      <c r="E66" s="2"/>
      <c r="F66" s="5"/>
      <c r="G66" s="5"/>
      <c r="H66" s="2"/>
      <c r="I66" s="2"/>
    </row>
    <row r="67" spans="1:9">
      <c r="A67" s="2"/>
      <c r="B67" s="2"/>
      <c r="C67" s="2"/>
      <c r="D67" s="3"/>
      <c r="E67" s="2"/>
      <c r="F67" s="5"/>
      <c r="G67" s="5"/>
      <c r="H67" s="2"/>
      <c r="I67" s="2"/>
    </row>
    <row r="68" spans="1:9">
      <c r="A68" s="2"/>
      <c r="B68" s="2"/>
      <c r="C68" s="2"/>
      <c r="D68" s="3"/>
      <c r="E68" s="2"/>
      <c r="F68" s="5"/>
      <c r="G68" s="5"/>
      <c r="H68" s="2"/>
      <c r="I68" s="2"/>
    </row>
    <row r="69" spans="1:9">
      <c r="A69" s="2"/>
      <c r="B69" s="2"/>
      <c r="C69" s="2"/>
      <c r="D69" s="3"/>
      <c r="E69" s="2"/>
      <c r="F69" s="5"/>
      <c r="G69" s="5"/>
      <c r="H69" s="2"/>
      <c r="I69" s="2"/>
    </row>
    <row r="70" spans="1:9">
      <c r="A70" s="2"/>
      <c r="B70" s="2"/>
      <c r="C70" s="2"/>
      <c r="D70" s="3"/>
      <c r="E70" s="2"/>
      <c r="F70" s="5"/>
      <c r="G70" s="5"/>
      <c r="H70" s="2"/>
      <c r="I70" s="2"/>
    </row>
    <row r="71" spans="1:9">
      <c r="A71" s="2"/>
      <c r="B71" s="2"/>
      <c r="C71" s="2"/>
      <c r="D71" s="3"/>
      <c r="E71" s="2"/>
      <c r="F71" s="5"/>
      <c r="G71" s="5"/>
      <c r="H71" s="2"/>
      <c r="I71" s="2"/>
    </row>
    <row r="72" spans="1:9">
      <c r="A72" s="2"/>
      <c r="B72" s="2"/>
      <c r="C72" s="2"/>
      <c r="D72" s="3"/>
      <c r="E72" s="2"/>
      <c r="F72" s="5"/>
      <c r="G72" s="5"/>
      <c r="H72" s="2"/>
      <c r="I72" s="2"/>
    </row>
    <row r="73" spans="1:9">
      <c r="A73" s="2"/>
      <c r="B73" s="2"/>
      <c r="C73" s="2"/>
      <c r="D73" s="3"/>
      <c r="E73" s="2"/>
      <c r="F73" s="5"/>
      <c r="G73" s="5"/>
      <c r="H73" s="2"/>
      <c r="I73" s="2"/>
    </row>
    <row r="74" spans="1:9">
      <c r="A74" s="2"/>
      <c r="B74" s="2"/>
      <c r="C74" s="2"/>
      <c r="D74" s="3"/>
      <c r="E74" s="2"/>
      <c r="F74" s="5"/>
      <c r="G74" s="5"/>
      <c r="H74" s="2"/>
      <c r="I74" s="2"/>
    </row>
    <row r="75" spans="1:9">
      <c r="A75" s="2"/>
      <c r="B75" s="2"/>
      <c r="C75" s="2"/>
      <c r="D75" s="3"/>
      <c r="E75" s="2"/>
      <c r="F75" s="5"/>
      <c r="G75" s="5"/>
      <c r="H75" s="2"/>
      <c r="I75" s="2"/>
    </row>
    <row r="76" spans="1:9">
      <c r="A76" s="2"/>
      <c r="B76" s="2"/>
      <c r="C76" s="2"/>
      <c r="D76" s="3"/>
      <c r="E76" s="2"/>
      <c r="F76" s="5"/>
      <c r="G76" s="5"/>
      <c r="H76" s="2"/>
      <c r="I76" s="2"/>
    </row>
    <row r="77" spans="1:9">
      <c r="A77" s="2"/>
      <c r="B77" s="2"/>
      <c r="C77" s="2"/>
      <c r="D77" s="3"/>
      <c r="E77" s="2"/>
      <c r="F77" s="5"/>
      <c r="G77" s="5"/>
      <c r="H77" s="2"/>
      <c r="I77" s="2"/>
    </row>
    <row r="78" spans="1:9">
      <c r="A78" s="2"/>
      <c r="B78" s="2"/>
      <c r="C78" s="2"/>
      <c r="D78" s="3"/>
      <c r="E78" s="2"/>
      <c r="F78" s="5"/>
      <c r="G78" s="5"/>
      <c r="H78" s="2"/>
      <c r="I78" s="2"/>
    </row>
    <row r="79" spans="1:9">
      <c r="A79" s="2"/>
      <c r="B79" s="2"/>
      <c r="C79" s="2"/>
      <c r="D79" s="3"/>
      <c r="E79" s="2"/>
      <c r="F79" s="5"/>
      <c r="G79" s="5"/>
      <c r="H79" s="2"/>
      <c r="I79" s="2"/>
    </row>
    <row r="80" spans="1:9">
      <c r="A80" s="2"/>
      <c r="B80" s="2"/>
      <c r="C80" s="2"/>
      <c r="D80" s="3"/>
      <c r="E80" s="2"/>
      <c r="F80" s="5"/>
      <c r="G80" s="5"/>
      <c r="H80" s="2"/>
      <c r="I80" s="2"/>
    </row>
    <row r="81" spans="1:9">
      <c r="A81" s="2"/>
      <c r="B81" s="2"/>
      <c r="C81" s="2"/>
      <c r="D81" s="3"/>
      <c r="E81" s="2"/>
      <c r="F81" s="5"/>
      <c r="G81" s="5"/>
      <c r="H81" s="2"/>
      <c r="I81" s="2"/>
    </row>
    <row r="82" spans="1:9">
      <c r="A82" s="2"/>
      <c r="B82" s="2"/>
      <c r="C82" s="2"/>
      <c r="D82" s="3"/>
      <c r="E82" s="2"/>
      <c r="F82" s="5"/>
      <c r="G82" s="5"/>
      <c r="H82" s="2"/>
      <c r="I82" s="2"/>
    </row>
    <row r="83" spans="1:9">
      <c r="A83" s="2"/>
      <c r="B83" s="2"/>
      <c r="C83" s="2"/>
      <c r="D83" s="3"/>
      <c r="E83" s="2"/>
      <c r="F83" s="5"/>
      <c r="G83" s="5"/>
      <c r="H83" s="2"/>
      <c r="I83" s="2"/>
    </row>
    <row r="84" spans="1:9">
      <c r="A84" s="2"/>
      <c r="B84" s="2"/>
      <c r="C84" s="2"/>
      <c r="D84" s="3"/>
      <c r="E84" s="2"/>
      <c r="F84" s="5"/>
      <c r="G84" s="5"/>
      <c r="H84" s="2"/>
      <c r="I84" s="2"/>
    </row>
    <row r="85" spans="1:9">
      <c r="A85" s="2"/>
      <c r="B85" s="2"/>
      <c r="C85" s="2"/>
      <c r="D85" s="3"/>
      <c r="E85" s="2"/>
      <c r="F85" s="5"/>
      <c r="G85" s="5"/>
      <c r="H85" s="2"/>
      <c r="I85" s="2"/>
    </row>
    <row r="86" spans="1:9">
      <c r="A86" s="2"/>
      <c r="B86" s="2"/>
      <c r="C86" s="2"/>
      <c r="D86" s="3"/>
      <c r="E86" s="2"/>
      <c r="F86" s="5"/>
      <c r="G86" s="5"/>
      <c r="H86" s="2"/>
      <c r="I86" s="2"/>
    </row>
    <row r="87" spans="1:9">
      <c r="A87" s="2"/>
      <c r="B87" s="2"/>
      <c r="C87" s="2"/>
      <c r="D87" s="3"/>
      <c r="E87" s="2"/>
      <c r="F87" s="5"/>
      <c r="G87" s="5"/>
      <c r="H87" s="2"/>
      <c r="I87" s="2"/>
    </row>
    <row r="88" spans="1:9">
      <c r="A88" s="2"/>
      <c r="B88" s="2"/>
      <c r="C88" s="2"/>
      <c r="D88" s="3"/>
      <c r="E88" s="2"/>
      <c r="F88" s="5"/>
      <c r="G88" s="5"/>
      <c r="H88" s="2"/>
      <c r="I88" s="2"/>
    </row>
    <row r="89" spans="1:9">
      <c r="A89" s="2"/>
      <c r="B89" s="2"/>
      <c r="C89" s="2"/>
      <c r="D89" s="3"/>
      <c r="E89" s="2"/>
      <c r="F89" s="5"/>
      <c r="G89" s="5"/>
      <c r="H89" s="2"/>
      <c r="I89" s="2"/>
    </row>
    <row r="90" spans="1:9">
      <c r="A90" s="2"/>
      <c r="B90" s="2"/>
      <c r="C90" s="2"/>
      <c r="D90" s="3"/>
      <c r="E90" s="2"/>
      <c r="F90" s="5"/>
      <c r="G90" s="5"/>
      <c r="H90" s="2"/>
      <c r="I90" s="2"/>
    </row>
    <row r="91" spans="1:9">
      <c r="A91" s="2"/>
      <c r="B91" s="2"/>
      <c r="C91" s="2"/>
      <c r="D91" s="3"/>
      <c r="E91" s="2"/>
      <c r="F91" s="5"/>
      <c r="G91" s="5"/>
      <c r="H91" s="2"/>
      <c r="I91" s="2"/>
    </row>
    <row r="92" spans="1:9">
      <c r="A92" s="2"/>
      <c r="B92" s="2"/>
      <c r="C92" s="2"/>
      <c r="D92" s="3"/>
      <c r="E92" s="2"/>
      <c r="F92" s="5"/>
      <c r="G92" s="5"/>
      <c r="H92" s="2"/>
      <c r="I92" s="2"/>
    </row>
    <row r="93" spans="1:9">
      <c r="A93" s="2"/>
      <c r="B93" s="2"/>
      <c r="C93" s="2"/>
      <c r="D93" s="3"/>
      <c r="E93" s="2"/>
      <c r="F93" s="5"/>
      <c r="G93" s="5"/>
      <c r="H93" s="2"/>
      <c r="I93" s="2"/>
    </row>
    <row r="94" spans="1:9">
      <c r="A94" s="2"/>
      <c r="B94" s="2"/>
      <c r="C94" s="2"/>
      <c r="D94" s="3"/>
      <c r="E94" s="2"/>
      <c r="F94" s="5"/>
      <c r="G94" s="5"/>
      <c r="H94" s="2"/>
      <c r="I94" s="2"/>
    </row>
    <row r="95" spans="1:9">
      <c r="A95" s="2"/>
      <c r="B95" s="2"/>
      <c r="C95" s="2"/>
      <c r="D95" s="3"/>
      <c r="E95" s="2"/>
      <c r="F95" s="5"/>
      <c r="G95" s="5"/>
      <c r="H95" s="2"/>
      <c r="I95" s="2"/>
    </row>
    <row r="96" spans="1:9">
      <c r="A96" s="2"/>
      <c r="B96" s="2"/>
      <c r="C96" s="2"/>
      <c r="D96" s="3"/>
      <c r="E96" s="2"/>
      <c r="F96" s="5"/>
      <c r="G96" s="5"/>
      <c r="H96" s="2"/>
      <c r="I96" s="2"/>
    </row>
    <row r="97" spans="1:9">
      <c r="A97" s="2"/>
      <c r="B97" s="2"/>
      <c r="C97" s="2"/>
      <c r="D97" s="3"/>
      <c r="E97" s="2"/>
      <c r="F97" s="5"/>
      <c r="G97" s="5"/>
      <c r="H97" s="2"/>
      <c r="I97" s="2"/>
    </row>
    <row r="98" spans="1:9">
      <c r="A98" s="2"/>
      <c r="B98" s="2"/>
      <c r="C98" s="2"/>
      <c r="D98" s="3"/>
      <c r="E98" s="2"/>
      <c r="F98" s="5"/>
      <c r="G98" s="5"/>
      <c r="H98" s="2"/>
      <c r="I98" s="2"/>
    </row>
    <row r="99" spans="1:9">
      <c r="A99" s="2"/>
      <c r="B99" s="2"/>
      <c r="C99" s="2"/>
      <c r="D99" s="3"/>
      <c r="E99" s="2"/>
      <c r="F99" s="5"/>
      <c r="G99" s="5"/>
      <c r="H99" s="2"/>
      <c r="I99" s="2"/>
    </row>
    <row r="100" spans="1:9">
      <c r="A100" s="2"/>
      <c r="B100" s="2"/>
      <c r="C100" s="2"/>
      <c r="D100" s="3"/>
      <c r="E100" s="2"/>
      <c r="F100" s="5"/>
      <c r="G100" s="5"/>
      <c r="H100" s="2"/>
      <c r="I100" s="2"/>
    </row>
    <row r="101" spans="1:9">
      <c r="A101" s="2"/>
      <c r="B101" s="2"/>
      <c r="C101" s="2"/>
      <c r="D101" s="3"/>
      <c r="E101" s="2"/>
      <c r="F101" s="5"/>
      <c r="G101" s="5"/>
      <c r="H101" s="2"/>
      <c r="I101" s="2"/>
    </row>
    <row r="102" spans="1:9">
      <c r="A102" s="2"/>
      <c r="B102" s="2"/>
      <c r="C102" s="2"/>
      <c r="D102" s="3"/>
      <c r="E102" s="2"/>
      <c r="F102" s="5"/>
      <c r="G102" s="5"/>
      <c r="H102" s="2"/>
      <c r="I102" s="2"/>
    </row>
    <row r="103" spans="1:9">
      <c r="A103" s="2"/>
      <c r="B103" s="2"/>
      <c r="C103" s="2"/>
      <c r="D103" s="3"/>
      <c r="E103" s="2"/>
      <c r="F103" s="5"/>
      <c r="G103" s="5"/>
      <c r="H103" s="2"/>
      <c r="I103" s="2"/>
    </row>
    <row r="104" spans="1:9">
      <c r="A104" s="2"/>
      <c r="B104" s="2"/>
      <c r="C104" s="2"/>
      <c r="D104" s="3"/>
      <c r="E104" s="2"/>
      <c r="F104" s="5"/>
      <c r="G104" s="5"/>
      <c r="H104" s="2"/>
      <c r="I104" s="2"/>
    </row>
    <row r="105" spans="1:9">
      <c r="A105" s="2"/>
      <c r="B105" s="2"/>
      <c r="C105" s="2"/>
      <c r="D105" s="3"/>
      <c r="E105" s="2"/>
      <c r="F105" s="5"/>
      <c r="G105" s="5"/>
      <c r="H105" s="2"/>
      <c r="I105" s="2"/>
    </row>
    <row r="106" spans="1:9">
      <c r="A106" s="2"/>
      <c r="B106" s="2"/>
      <c r="C106" s="2"/>
      <c r="D106" s="3"/>
      <c r="E106" s="2"/>
      <c r="F106" s="5"/>
      <c r="G106" s="5"/>
      <c r="H106" s="2"/>
      <c r="I106" s="2"/>
    </row>
    <row r="107" spans="1:9">
      <c r="A107" s="2"/>
      <c r="B107" s="2"/>
      <c r="C107" s="2"/>
      <c r="D107" s="3"/>
      <c r="E107" s="2"/>
      <c r="F107" s="5"/>
      <c r="G107" s="5"/>
      <c r="H107" s="2"/>
      <c r="I107" s="2"/>
    </row>
    <row r="108" spans="1:9">
      <c r="A108" s="2"/>
      <c r="B108" s="2"/>
      <c r="C108" s="2"/>
      <c r="D108" s="3"/>
      <c r="E108" s="2"/>
      <c r="F108" s="5"/>
      <c r="G108" s="5"/>
      <c r="H108" s="2"/>
      <c r="I108" s="2"/>
    </row>
    <row r="109" spans="1:9">
      <c r="A109" s="2"/>
      <c r="B109" s="2"/>
      <c r="C109" s="2"/>
      <c r="D109" s="3"/>
      <c r="E109" s="2"/>
      <c r="F109" s="5"/>
      <c r="G109" s="5"/>
      <c r="H109" s="2"/>
      <c r="I109" s="2"/>
    </row>
    <row r="110" spans="1:9">
      <c r="A110" s="2"/>
      <c r="B110" s="2"/>
      <c r="C110" s="2"/>
      <c r="D110" s="3"/>
      <c r="E110" s="2"/>
      <c r="F110" s="5"/>
      <c r="G110" s="5"/>
      <c r="H110" s="2"/>
      <c r="I110" s="2"/>
    </row>
    <row r="111" spans="1:9">
      <c r="A111" s="2"/>
      <c r="B111" s="2"/>
      <c r="C111" s="2"/>
      <c r="D111" s="3"/>
      <c r="E111" s="2"/>
      <c r="F111" s="5"/>
      <c r="G111" s="5"/>
      <c r="H111" s="2"/>
      <c r="I111" s="2"/>
    </row>
    <row r="112" spans="1:9">
      <c r="A112" s="2"/>
      <c r="B112" s="2"/>
      <c r="C112" s="2"/>
      <c r="D112" s="3"/>
      <c r="E112" s="2"/>
      <c r="F112" s="5"/>
      <c r="G112" s="5"/>
      <c r="H112" s="2"/>
      <c r="I112" s="2"/>
    </row>
    <row r="113" spans="1:9">
      <c r="A113" s="2"/>
      <c r="B113" s="2"/>
      <c r="C113" s="2"/>
      <c r="D113" s="3"/>
      <c r="E113" s="2"/>
      <c r="F113" s="5"/>
      <c r="G113" s="5"/>
      <c r="H113" s="2"/>
      <c r="I113" s="2"/>
    </row>
    <row r="114" spans="1:9">
      <c r="A114" s="2"/>
      <c r="B114" s="2"/>
      <c r="C114" s="2"/>
      <c r="D114" s="3"/>
      <c r="E114" s="2"/>
      <c r="F114" s="5"/>
      <c r="G114" s="5"/>
      <c r="H114" s="2"/>
      <c r="I114" s="2"/>
    </row>
    <row r="115" spans="1:9">
      <c r="A115" s="2"/>
      <c r="B115" s="2"/>
      <c r="C115" s="2"/>
      <c r="D115" s="3"/>
      <c r="E115" s="2"/>
      <c r="F115" s="5"/>
      <c r="G115" s="5"/>
      <c r="H115" s="2"/>
      <c r="I115" s="2"/>
    </row>
    <row r="116" spans="1:9">
      <c r="A116" s="2"/>
      <c r="B116" s="2"/>
      <c r="C116" s="2"/>
      <c r="D116" s="3"/>
      <c r="E116" s="2"/>
      <c r="F116" s="5"/>
      <c r="G116" s="5"/>
      <c r="H116" s="2"/>
      <c r="I116" s="2"/>
    </row>
    <row r="117" spans="1:9">
      <c r="A117" s="2"/>
      <c r="B117" s="2"/>
      <c r="C117" s="2"/>
      <c r="D117" s="3"/>
      <c r="E117" s="2"/>
      <c r="F117" s="5"/>
      <c r="G117" s="5"/>
      <c r="H117" s="2"/>
      <c r="I117" s="2"/>
    </row>
    <row r="118" spans="1:9">
      <c r="A118" s="2"/>
      <c r="B118" s="2"/>
      <c r="C118" s="2"/>
      <c r="D118" s="3"/>
      <c r="E118" s="2"/>
      <c r="F118" s="5"/>
      <c r="G118" s="5"/>
      <c r="H118" s="2"/>
      <c r="I118" s="2"/>
    </row>
    <row r="119" spans="1:9">
      <c r="A119" s="2"/>
      <c r="B119" s="2"/>
      <c r="C119" s="2"/>
      <c r="D119" s="3"/>
      <c r="E119" s="2"/>
      <c r="F119" s="5"/>
      <c r="G119" s="5"/>
      <c r="H119" s="2"/>
      <c r="I119" s="2"/>
    </row>
    <row r="120" spans="1:9">
      <c r="A120" s="2"/>
      <c r="B120" s="2"/>
      <c r="C120" s="2"/>
      <c r="D120" s="3"/>
      <c r="E120" s="2"/>
      <c r="F120" s="5"/>
      <c r="G120" s="5"/>
      <c r="H120" s="2"/>
      <c r="I120" s="2"/>
    </row>
    <row r="121" spans="1:9">
      <c r="A121" s="2"/>
      <c r="B121" s="2"/>
      <c r="C121" s="2"/>
      <c r="D121" s="3"/>
      <c r="E121" s="2"/>
      <c r="F121" s="5"/>
      <c r="G121" s="5"/>
      <c r="H121" s="2"/>
      <c r="I121" s="2"/>
    </row>
    <row r="122" spans="1:9">
      <c r="A122" s="2"/>
      <c r="B122" s="2"/>
      <c r="C122" s="2"/>
      <c r="D122" s="3"/>
      <c r="E122" s="2"/>
      <c r="F122" s="5"/>
      <c r="G122" s="5"/>
      <c r="H122" s="2"/>
      <c r="I122" s="2"/>
    </row>
    <row r="123" spans="1:9">
      <c r="A123" s="2"/>
      <c r="B123" s="2"/>
      <c r="C123" s="2"/>
      <c r="D123" s="3"/>
      <c r="E123" s="2"/>
      <c r="F123" s="5"/>
      <c r="G123" s="5"/>
      <c r="H123" s="2"/>
      <c r="I123" s="2"/>
    </row>
    <row r="124" spans="1:9">
      <c r="A124" s="2"/>
      <c r="B124" s="2"/>
      <c r="C124" s="2"/>
      <c r="D124" s="3"/>
      <c r="E124" s="2"/>
      <c r="F124" s="5"/>
      <c r="G124" s="5"/>
      <c r="H124" s="2"/>
      <c r="I124" s="2"/>
    </row>
    <row r="125" spans="1:9">
      <c r="A125" s="2"/>
      <c r="B125" s="2"/>
      <c r="C125" s="2"/>
      <c r="D125" s="3"/>
      <c r="E125" s="2"/>
      <c r="F125" s="5"/>
      <c r="G125" s="5"/>
      <c r="H125" s="2"/>
      <c r="I125" s="2"/>
    </row>
    <row r="126" spans="1:9">
      <c r="A126" s="2"/>
      <c r="B126" s="2"/>
      <c r="C126" s="2"/>
      <c r="D126" s="3"/>
      <c r="E126" s="2"/>
      <c r="F126" s="5"/>
      <c r="G126" s="5"/>
      <c r="H126" s="2"/>
      <c r="I126" s="2"/>
    </row>
    <row r="127" spans="1:9">
      <c r="A127" s="2"/>
      <c r="B127" s="2"/>
      <c r="C127" s="2"/>
      <c r="D127" s="3"/>
      <c r="E127" s="2"/>
      <c r="F127" s="5"/>
      <c r="G127" s="5"/>
      <c r="H127" s="2"/>
      <c r="I127" s="2"/>
    </row>
    <row r="128" spans="1:9">
      <c r="A128" s="2"/>
      <c r="B128" s="2"/>
      <c r="C128" s="2"/>
      <c r="D128" s="3"/>
      <c r="E128" s="2"/>
      <c r="F128" s="5"/>
      <c r="G128" s="5"/>
      <c r="H128" s="2"/>
      <c r="I128" s="2"/>
    </row>
    <row r="129" spans="1:9">
      <c r="A129" s="2"/>
      <c r="B129" s="2"/>
      <c r="C129" s="2"/>
      <c r="D129" s="3"/>
      <c r="E129" s="2"/>
      <c r="F129" s="5"/>
      <c r="G129" s="5"/>
      <c r="H129" s="2"/>
      <c r="I129" s="2"/>
    </row>
    <row r="130" spans="1:9">
      <c r="A130" s="2"/>
      <c r="B130" s="2"/>
      <c r="C130" s="2"/>
      <c r="D130" s="3"/>
      <c r="E130" s="2"/>
      <c r="F130" s="5"/>
      <c r="G130" s="5"/>
      <c r="H130" s="2"/>
      <c r="I130" s="2"/>
    </row>
    <row r="131" spans="1:9">
      <c r="A131" s="2"/>
      <c r="B131" s="2"/>
      <c r="C131" s="2"/>
      <c r="D131" s="3"/>
      <c r="E131" s="2"/>
      <c r="F131" s="5"/>
      <c r="G131" s="5"/>
      <c r="H131" s="2"/>
      <c r="I131" s="2"/>
    </row>
    <row r="132" spans="1:9">
      <c r="A132" s="2"/>
      <c r="B132" s="2"/>
      <c r="C132" s="2"/>
      <c r="D132" s="3"/>
      <c r="E132" s="2"/>
      <c r="F132" s="5"/>
      <c r="G132" s="5"/>
      <c r="H132" s="2"/>
      <c r="I132" s="2"/>
    </row>
    <row r="133" spans="1:9">
      <c r="A133" s="2"/>
      <c r="B133" s="2"/>
      <c r="C133" s="2"/>
      <c r="D133" s="3"/>
      <c r="E133" s="2"/>
      <c r="F133" s="5"/>
      <c r="G133" s="5"/>
      <c r="H133" s="2"/>
      <c r="I133" s="2"/>
    </row>
    <row r="134" spans="1:9">
      <c r="A134" s="2"/>
      <c r="B134" s="2"/>
      <c r="C134" s="2"/>
      <c r="D134" s="3"/>
      <c r="E134" s="2"/>
      <c r="F134" s="5"/>
      <c r="G134" s="5"/>
      <c r="H134" s="2"/>
      <c r="I134" s="2"/>
    </row>
    <row r="135" spans="1:9">
      <c r="A135" s="2"/>
      <c r="B135" s="2"/>
      <c r="C135" s="2"/>
      <c r="D135" s="3"/>
      <c r="E135" s="2"/>
      <c r="F135" s="5"/>
      <c r="G135" s="5"/>
      <c r="H135" s="2"/>
      <c r="I135" s="2"/>
    </row>
    <row r="136" spans="1:9">
      <c r="A136" s="2"/>
      <c r="B136" s="2"/>
      <c r="C136" s="2"/>
      <c r="D136" s="3"/>
      <c r="E136" s="2"/>
      <c r="F136" s="5"/>
      <c r="G136" s="5"/>
      <c r="H136" s="2"/>
      <c r="I136" s="2"/>
    </row>
    <row r="137" spans="1:9">
      <c r="A137" s="2"/>
      <c r="B137" s="2"/>
      <c r="C137" s="2"/>
      <c r="D137" s="3"/>
      <c r="E137" s="2"/>
      <c r="F137" s="5"/>
      <c r="G137" s="5"/>
      <c r="H137" s="2"/>
      <c r="I137" s="2"/>
    </row>
    <row r="138" spans="1:9">
      <c r="A138" s="2"/>
      <c r="B138" s="2"/>
      <c r="C138" s="2"/>
      <c r="D138" s="3"/>
      <c r="E138" s="2"/>
      <c r="F138" s="5"/>
      <c r="G138" s="5"/>
      <c r="H138" s="2"/>
      <c r="I138" s="2"/>
    </row>
    <row r="139" spans="1:9">
      <c r="A139" s="2"/>
      <c r="B139" s="2"/>
      <c r="C139" s="2"/>
      <c r="D139" s="3"/>
      <c r="E139" s="2"/>
      <c r="F139" s="5"/>
      <c r="G139" s="5"/>
      <c r="H139" s="2"/>
      <c r="I139" s="2"/>
    </row>
    <row r="140" spans="1:9">
      <c r="A140" s="2"/>
      <c r="B140" s="2"/>
      <c r="C140" s="2"/>
      <c r="D140" s="3"/>
      <c r="E140" s="2"/>
      <c r="F140" s="5"/>
      <c r="G140" s="5"/>
      <c r="H140" s="2"/>
      <c r="I140" s="2"/>
    </row>
    <row r="141" spans="1:9">
      <c r="A141" s="2"/>
      <c r="B141" s="2"/>
      <c r="C141" s="2"/>
      <c r="D141" s="3"/>
      <c r="E141" s="2"/>
      <c r="F141" s="5"/>
      <c r="G141" s="5"/>
      <c r="H141" s="2"/>
      <c r="I141" s="2"/>
    </row>
    <row r="142" spans="1:9">
      <c r="A142" s="2"/>
      <c r="B142" s="2"/>
      <c r="C142" s="2"/>
      <c r="D142" s="3"/>
      <c r="E142" s="2"/>
      <c r="F142" s="5"/>
      <c r="G142" s="5"/>
      <c r="H142" s="2"/>
      <c r="I142" s="2"/>
    </row>
    <row r="143" spans="1:9">
      <c r="A143" s="2"/>
      <c r="B143" s="2"/>
      <c r="C143" s="2"/>
      <c r="D143" s="3"/>
      <c r="E143" s="2"/>
      <c r="F143" s="5"/>
      <c r="G143" s="5"/>
      <c r="H143" s="2"/>
      <c r="I143" s="2"/>
    </row>
    <row r="144" spans="1:9">
      <c r="A144" s="2"/>
      <c r="B144" s="2"/>
      <c r="C144" s="2"/>
      <c r="D144" s="3"/>
      <c r="E144" s="2"/>
      <c r="F144" s="5"/>
      <c r="G144" s="5"/>
      <c r="H144" s="2"/>
      <c r="I144" s="2"/>
    </row>
    <row r="145" spans="1:9">
      <c r="A145" s="2"/>
      <c r="B145" s="2"/>
      <c r="C145" s="2"/>
      <c r="D145" s="3"/>
      <c r="E145" s="2"/>
      <c r="F145" s="5"/>
      <c r="G145" s="5"/>
      <c r="H145" s="2"/>
      <c r="I145" s="2"/>
    </row>
    <row r="146" spans="1:9">
      <c r="A146" s="2"/>
      <c r="B146" s="2"/>
      <c r="C146" s="2"/>
      <c r="D146" s="3"/>
      <c r="E146" s="2"/>
      <c r="F146" s="5"/>
      <c r="G146" s="5"/>
      <c r="H146" s="2"/>
      <c r="I146" s="2"/>
    </row>
    <row r="147" spans="1:9">
      <c r="A147" s="2"/>
      <c r="B147" s="2"/>
      <c r="C147" s="2"/>
      <c r="D147" s="3"/>
      <c r="E147" s="2"/>
      <c r="F147" s="5"/>
      <c r="G147" s="5"/>
      <c r="H147" s="2"/>
      <c r="I147" s="2"/>
    </row>
    <row r="148" spans="1:9">
      <c r="A148" s="2"/>
      <c r="B148" s="2"/>
      <c r="C148" s="2"/>
      <c r="D148" s="3"/>
      <c r="E148" s="2"/>
      <c r="F148" s="5"/>
      <c r="G148" s="5"/>
      <c r="H148" s="2"/>
      <c r="I148" s="2"/>
    </row>
    <row r="149" spans="1:9">
      <c r="A149" s="2"/>
      <c r="B149" s="2"/>
      <c r="C149" s="2"/>
      <c r="D149" s="3"/>
      <c r="E149" s="2"/>
      <c r="F149" s="5"/>
      <c r="G149" s="5"/>
      <c r="H149" s="2"/>
      <c r="I149" s="2"/>
    </row>
    <row r="150" spans="1:9">
      <c r="A150" s="2"/>
      <c r="B150" s="2"/>
      <c r="C150" s="2"/>
      <c r="D150" s="3"/>
      <c r="E150" s="2"/>
      <c r="F150" s="5"/>
      <c r="G150" s="5"/>
      <c r="H150" s="2"/>
      <c r="I150" s="2"/>
    </row>
    <row r="151" spans="1:9">
      <c r="A151" s="2"/>
      <c r="B151" s="2"/>
      <c r="C151" s="2"/>
      <c r="D151" s="3"/>
      <c r="E151" s="2"/>
      <c r="F151" s="5"/>
      <c r="G151" s="5"/>
      <c r="H151" s="2"/>
      <c r="I151" s="2"/>
    </row>
    <row r="152" spans="1:9">
      <c r="A152" s="2"/>
      <c r="B152" s="2"/>
      <c r="C152" s="2"/>
      <c r="D152" s="3"/>
      <c r="E152" s="2"/>
      <c r="F152" s="5"/>
      <c r="G152" s="5"/>
      <c r="H152" s="2"/>
      <c r="I152" s="2"/>
    </row>
    <row r="153" spans="1:9">
      <c r="A153" s="2"/>
      <c r="B153" s="2"/>
      <c r="C153" s="2"/>
      <c r="D153" s="3"/>
      <c r="E153" s="2"/>
      <c r="F153" s="5"/>
      <c r="G153" s="5"/>
      <c r="H153" s="2"/>
      <c r="I153" s="2"/>
    </row>
    <row r="154" spans="1:9">
      <c r="A154" s="2"/>
      <c r="B154" s="2"/>
      <c r="C154" s="2"/>
      <c r="D154" s="3"/>
      <c r="E154" s="2"/>
      <c r="F154" s="5"/>
      <c r="G154" s="5"/>
      <c r="H154" s="2"/>
      <c r="I154" s="2"/>
    </row>
    <row r="155" spans="1:9">
      <c r="A155" s="2"/>
      <c r="B155" s="2"/>
      <c r="C155" s="2"/>
      <c r="D155" s="3"/>
      <c r="E155" s="2"/>
      <c r="F155" s="5"/>
      <c r="G155" s="5"/>
      <c r="H155" s="2"/>
      <c r="I155" s="2"/>
    </row>
    <row r="156" spans="1:9">
      <c r="A156" s="2"/>
      <c r="B156" s="2"/>
      <c r="C156" s="2"/>
      <c r="D156" s="3"/>
      <c r="E156" s="2"/>
      <c r="F156" s="5"/>
      <c r="G156" s="5"/>
      <c r="H156" s="2"/>
      <c r="I156" s="2"/>
    </row>
    <row r="157" spans="1:9">
      <c r="A157" s="2"/>
      <c r="B157" s="2"/>
      <c r="C157" s="2"/>
      <c r="D157" s="3"/>
      <c r="E157" s="2"/>
      <c r="F157" s="5"/>
      <c r="G157" s="5"/>
      <c r="H157" s="2"/>
      <c r="I157" s="2"/>
    </row>
    <row r="158" spans="1:9">
      <c r="A158" s="2"/>
      <c r="B158" s="2"/>
      <c r="C158" s="2"/>
      <c r="D158" s="3"/>
      <c r="E158" s="2"/>
      <c r="F158" s="5"/>
      <c r="G158" s="5"/>
      <c r="H158" s="2"/>
      <c r="I158" s="2"/>
    </row>
    <row r="159" spans="1:9">
      <c r="A159" s="2"/>
      <c r="B159" s="2"/>
      <c r="C159" s="2"/>
      <c r="D159" s="3"/>
      <c r="E159" s="2"/>
      <c r="F159" s="5"/>
      <c r="G159" s="5"/>
      <c r="H159" s="2"/>
      <c r="I159" s="2"/>
    </row>
    <row r="160" spans="1:9">
      <c r="A160" s="2"/>
      <c r="B160" s="2"/>
      <c r="C160" s="2"/>
      <c r="D160" s="3"/>
      <c r="E160" s="2"/>
      <c r="F160" s="5"/>
      <c r="G160" s="5"/>
      <c r="H160" s="2"/>
      <c r="I160" s="2"/>
    </row>
    <row r="161" spans="1:9">
      <c r="A161" s="2"/>
      <c r="B161" s="2"/>
      <c r="C161" s="2"/>
      <c r="D161" s="3"/>
      <c r="E161" s="2"/>
      <c r="F161" s="5"/>
      <c r="G161" s="5"/>
      <c r="H161" s="2"/>
      <c r="I161" s="2"/>
    </row>
    <row r="162" spans="1:9">
      <c r="A162" s="2"/>
      <c r="B162" s="2"/>
      <c r="C162" s="2"/>
      <c r="D162" s="3"/>
      <c r="E162" s="2"/>
      <c r="F162" s="5"/>
      <c r="G162" s="5"/>
      <c r="H162" s="2"/>
      <c r="I162" s="2"/>
    </row>
    <row r="163" spans="1:9">
      <c r="A163" s="2"/>
      <c r="B163" s="2"/>
      <c r="C163" s="2"/>
      <c r="D163" s="3"/>
      <c r="E163" s="2"/>
      <c r="F163" s="5"/>
      <c r="G163" s="5"/>
      <c r="H163" s="2"/>
      <c r="I163" s="2"/>
    </row>
    <row r="164" spans="1:9">
      <c r="A164" s="2"/>
      <c r="B164" s="2"/>
      <c r="C164" s="2"/>
      <c r="D164" s="3"/>
      <c r="E164" s="2"/>
      <c r="F164" s="5"/>
      <c r="G164" s="5"/>
      <c r="H164" s="2"/>
      <c r="I164" s="2"/>
    </row>
    <row r="165" spans="1:9">
      <c r="A165" s="2"/>
      <c r="B165" s="2"/>
      <c r="C165" s="2"/>
      <c r="D165" s="3"/>
      <c r="E165" s="2"/>
      <c r="F165" s="5"/>
      <c r="G165" s="5"/>
      <c r="H165" s="2"/>
      <c r="I165" s="2"/>
    </row>
    <row r="166" spans="1:9">
      <c r="A166" s="2"/>
      <c r="B166" s="2"/>
      <c r="C166" s="2"/>
      <c r="D166" s="3"/>
      <c r="E166" s="2"/>
      <c r="F166" s="5"/>
      <c r="G166" s="5"/>
      <c r="H166" s="2"/>
      <c r="I166" s="2"/>
    </row>
    <row r="167" spans="1:9">
      <c r="A167" s="2"/>
      <c r="B167" s="2"/>
      <c r="C167" s="2"/>
      <c r="D167" s="3"/>
      <c r="E167" s="2"/>
      <c r="F167" s="5"/>
      <c r="G167" s="5"/>
      <c r="H167" s="2"/>
      <c r="I167" s="2"/>
    </row>
    <row r="168" spans="1:9">
      <c r="A168" s="2"/>
      <c r="B168" s="2"/>
      <c r="C168" s="2"/>
      <c r="D168" s="3"/>
      <c r="E168" s="2"/>
      <c r="F168" s="5"/>
      <c r="G168" s="5"/>
      <c r="H168" s="2"/>
      <c r="I168" s="2"/>
    </row>
    <row r="169" spans="1:9">
      <c r="A169" s="2"/>
      <c r="B169" s="2"/>
      <c r="C169" s="2"/>
      <c r="D169" s="3"/>
      <c r="E169" s="2"/>
      <c r="F169" s="5"/>
      <c r="G169" s="5"/>
      <c r="H169" s="2"/>
      <c r="I169" s="2"/>
    </row>
    <row r="170" spans="1:9">
      <c r="A170" s="2"/>
      <c r="B170" s="2"/>
      <c r="C170" s="2"/>
      <c r="D170" s="3"/>
      <c r="E170" s="2"/>
      <c r="F170" s="5"/>
      <c r="G170" s="5"/>
      <c r="H170" s="2"/>
      <c r="I170" s="2"/>
    </row>
    <row r="171" spans="1:9">
      <c r="A171" s="2"/>
      <c r="B171" s="2"/>
      <c r="C171" s="2"/>
      <c r="D171" s="3"/>
      <c r="E171" s="2"/>
      <c r="F171" s="5"/>
      <c r="G171" s="5"/>
      <c r="H171" s="2"/>
      <c r="I171" s="2"/>
    </row>
    <row r="172" spans="1:9">
      <c r="A172" s="2"/>
      <c r="B172" s="2"/>
      <c r="C172" s="2"/>
      <c r="D172" s="3"/>
      <c r="E172" s="2"/>
      <c r="F172" s="5"/>
      <c r="G172" s="5"/>
      <c r="H172" s="2"/>
      <c r="I172" s="2"/>
    </row>
    <row r="173" spans="1:9">
      <c r="A173" s="2"/>
      <c r="B173" s="2"/>
      <c r="C173" s="2"/>
      <c r="D173" s="3"/>
      <c r="E173" s="2"/>
      <c r="F173" s="5"/>
      <c r="G173" s="5"/>
      <c r="H173" s="2"/>
      <c r="I173" s="2"/>
    </row>
    <row r="174" spans="1:9">
      <c r="A174" s="2"/>
      <c r="B174" s="2"/>
      <c r="C174" s="2"/>
      <c r="D174" s="3"/>
      <c r="E174" s="2"/>
      <c r="F174" s="5"/>
      <c r="G174" s="5"/>
      <c r="H174" s="2"/>
      <c r="I174" s="2"/>
    </row>
    <row r="175" spans="1:9">
      <c r="A175" s="2"/>
      <c r="B175" s="2"/>
      <c r="C175" s="2"/>
      <c r="D175" s="3"/>
      <c r="E175" s="2"/>
      <c r="F175" s="5"/>
      <c r="G175" s="5"/>
      <c r="H175" s="2"/>
      <c r="I175" s="2"/>
    </row>
    <row r="176" spans="1:9">
      <c r="A176" s="2"/>
      <c r="B176" s="2"/>
      <c r="C176" s="2"/>
      <c r="D176" s="3"/>
      <c r="E176" s="2"/>
      <c r="F176" s="5"/>
      <c r="G176" s="5"/>
      <c r="H176" s="2"/>
      <c r="I176" s="2"/>
    </row>
    <row r="177" spans="1:9">
      <c r="A177" s="2"/>
      <c r="B177" s="2"/>
      <c r="C177" s="2"/>
      <c r="D177" s="3"/>
      <c r="E177" s="2"/>
      <c r="F177" s="5"/>
      <c r="G177" s="5"/>
      <c r="H177" s="2"/>
      <c r="I177" s="2"/>
    </row>
    <row r="178" spans="1:9">
      <c r="A178" s="2"/>
      <c r="B178" s="2"/>
      <c r="C178" s="2"/>
      <c r="D178" s="3"/>
      <c r="E178" s="2"/>
      <c r="F178" s="5"/>
      <c r="G178" s="5"/>
      <c r="H178" s="2"/>
      <c r="I178" s="2"/>
    </row>
    <row r="179" spans="1:9">
      <c r="A179" s="2"/>
      <c r="B179" s="2"/>
      <c r="C179" s="2"/>
      <c r="D179" s="3"/>
      <c r="E179" s="2"/>
      <c r="F179" s="5"/>
      <c r="G179" s="5"/>
      <c r="H179" s="2"/>
      <c r="I179" s="2"/>
    </row>
    <row r="180" spans="1:9">
      <c r="A180" s="2"/>
      <c r="B180" s="2"/>
      <c r="C180" s="2"/>
      <c r="D180" s="3"/>
      <c r="E180" s="2"/>
      <c r="F180" s="5"/>
      <c r="G180" s="5"/>
      <c r="H180" s="2"/>
      <c r="I180" s="2"/>
    </row>
    <row r="181" spans="1:9">
      <c r="A181" s="2"/>
      <c r="B181" s="2"/>
      <c r="C181" s="2"/>
      <c r="D181" s="3"/>
      <c r="E181" s="2"/>
      <c r="F181" s="5"/>
      <c r="G181" s="5"/>
      <c r="H181" s="2"/>
      <c r="I181" s="2"/>
    </row>
    <row r="182" spans="1:9">
      <c r="A182" s="2"/>
      <c r="B182" s="2"/>
      <c r="C182" s="2"/>
      <c r="D182" s="3"/>
      <c r="E182" s="2"/>
      <c r="F182" s="5"/>
      <c r="G182" s="5"/>
      <c r="H182" s="2"/>
      <c r="I182" s="2"/>
    </row>
    <row r="183" spans="1:9">
      <c r="A183" s="2"/>
      <c r="B183" s="2"/>
      <c r="C183" s="2"/>
      <c r="D183" s="3"/>
      <c r="E183" s="2"/>
      <c r="F183" s="5"/>
      <c r="G183" s="5"/>
      <c r="H183" s="2"/>
      <c r="I183" s="2"/>
    </row>
    <row r="184" spans="1:9">
      <c r="A184" s="2"/>
      <c r="B184" s="2"/>
      <c r="C184" s="2"/>
      <c r="D184" s="3"/>
      <c r="E184" s="2"/>
      <c r="F184" s="5"/>
      <c r="G184" s="5"/>
      <c r="H184" s="2"/>
      <c r="I184" s="2"/>
    </row>
    <row r="185" spans="1:9">
      <c r="A185" s="2"/>
      <c r="B185" s="2"/>
      <c r="C185" s="2"/>
      <c r="D185" s="3"/>
      <c r="E185" s="2"/>
      <c r="F185" s="5"/>
      <c r="G185" s="5"/>
      <c r="H185" s="2"/>
      <c r="I185" s="2"/>
    </row>
    <row r="186" spans="1:9">
      <c r="A186" s="2"/>
      <c r="B186" s="2"/>
      <c r="C186" s="2"/>
      <c r="D186" s="3"/>
      <c r="E186" s="2"/>
      <c r="F186" s="5"/>
      <c r="G186" s="5"/>
      <c r="H186" s="2"/>
      <c r="I186" s="2"/>
    </row>
    <row r="187" spans="1:9">
      <c r="A187" s="2"/>
      <c r="B187" s="2"/>
      <c r="C187" s="2"/>
      <c r="D187" s="3"/>
      <c r="E187" s="2"/>
      <c r="F187" s="5"/>
      <c r="G187" s="5"/>
      <c r="H187" s="2"/>
      <c r="I187" s="2"/>
    </row>
    <row r="188" spans="1:9">
      <c r="A188" s="2"/>
      <c r="B188" s="2"/>
      <c r="C188" s="2"/>
      <c r="D188" s="3"/>
      <c r="E188" s="2"/>
      <c r="F188" s="5"/>
      <c r="G188" s="5"/>
      <c r="H188" s="2"/>
      <c r="I188" s="2"/>
    </row>
    <row r="189" spans="1:9">
      <c r="A189" s="2"/>
      <c r="B189" s="2"/>
      <c r="C189" s="2"/>
      <c r="D189" s="3"/>
      <c r="E189" s="2"/>
      <c r="F189" s="5"/>
      <c r="G189" s="5"/>
      <c r="H189" s="2"/>
      <c r="I189" s="2"/>
    </row>
    <row r="190" spans="1:9">
      <c r="A190" s="2"/>
      <c r="B190" s="2"/>
      <c r="C190" s="2"/>
      <c r="D190" s="3"/>
      <c r="E190" s="2"/>
      <c r="F190" s="5"/>
      <c r="G190" s="5"/>
      <c r="H190" s="2"/>
      <c r="I190" s="2"/>
    </row>
    <row r="191" spans="1:9">
      <c r="A191" s="2"/>
      <c r="B191" s="2"/>
      <c r="C191" s="2"/>
      <c r="D191" s="3"/>
      <c r="E191" s="2"/>
      <c r="F191" s="5"/>
      <c r="G191" s="5"/>
      <c r="H191" s="2"/>
      <c r="I191" s="2"/>
    </row>
    <row r="192" spans="1:9">
      <c r="A192" s="2"/>
      <c r="B192" s="2"/>
      <c r="C192" s="2"/>
      <c r="D192" s="3"/>
      <c r="E192" s="2"/>
      <c r="F192" s="5"/>
      <c r="G192" s="5"/>
      <c r="H192" s="2"/>
      <c r="I192" s="2"/>
    </row>
    <row r="193" spans="1:9">
      <c r="A193" s="2"/>
      <c r="B193" s="2"/>
      <c r="C193" s="2"/>
      <c r="D193" s="3"/>
      <c r="E193" s="2"/>
      <c r="F193" s="5"/>
      <c r="G193" s="5"/>
      <c r="H193" s="2"/>
      <c r="I193" s="2"/>
    </row>
    <row r="194" spans="1:9">
      <c r="A194" s="2"/>
      <c r="B194" s="2"/>
      <c r="C194" s="2"/>
      <c r="D194" s="3"/>
      <c r="E194" s="2"/>
      <c r="F194" s="5"/>
      <c r="G194" s="5"/>
      <c r="H194" s="2"/>
      <c r="I194" s="2"/>
    </row>
    <row r="195" spans="1:9">
      <c r="A195" s="2"/>
      <c r="B195" s="2"/>
      <c r="C195" s="2"/>
      <c r="D195" s="3"/>
      <c r="E195" s="2"/>
      <c r="F195" s="5"/>
      <c r="G195" s="5"/>
      <c r="H195" s="2"/>
      <c r="I195" s="2"/>
    </row>
    <row r="196" spans="1:9">
      <c r="A196" s="2"/>
      <c r="B196" s="2"/>
      <c r="C196" s="2"/>
      <c r="D196" s="3"/>
      <c r="E196" s="2"/>
      <c r="F196" s="5"/>
      <c r="G196" s="5"/>
      <c r="H196" s="2"/>
      <c r="I196" s="2"/>
    </row>
    <row r="197" spans="1:9">
      <c r="A197" s="2"/>
      <c r="B197" s="2"/>
      <c r="C197" s="2"/>
      <c r="D197" s="3"/>
      <c r="E197" s="2"/>
      <c r="F197" s="5"/>
      <c r="G197" s="5"/>
      <c r="H197" s="2"/>
      <c r="I197" s="2"/>
    </row>
    <row r="198" spans="1:9">
      <c r="A198" s="2"/>
      <c r="B198" s="2"/>
      <c r="C198" s="2"/>
      <c r="D198" s="3"/>
      <c r="E198" s="2"/>
      <c r="F198" s="5"/>
      <c r="G198" s="5"/>
      <c r="H198" s="2"/>
      <c r="I198" s="2"/>
    </row>
    <row r="199" spans="1:9">
      <c r="A199" s="2"/>
      <c r="B199" s="2"/>
      <c r="C199" s="2"/>
      <c r="D199" s="3"/>
      <c r="E199" s="2"/>
      <c r="F199" s="5"/>
      <c r="G199" s="5"/>
      <c r="H199" s="2"/>
      <c r="I199" s="2"/>
    </row>
    <row r="200" spans="1:9">
      <c r="A200" s="2"/>
      <c r="B200" s="2"/>
      <c r="C200" s="2"/>
      <c r="D200" s="3"/>
      <c r="E200" s="2"/>
      <c r="F200" s="5"/>
      <c r="G200" s="5"/>
      <c r="H200" s="2"/>
      <c r="I200" s="2"/>
    </row>
    <row r="201" spans="1:9">
      <c r="A201" s="2"/>
      <c r="B201" s="2"/>
      <c r="C201" s="2"/>
      <c r="D201" s="3"/>
      <c r="E201" s="2"/>
      <c r="F201" s="5"/>
      <c r="G201" s="5"/>
      <c r="H201" s="2"/>
      <c r="I201" s="2"/>
    </row>
    <row r="202" spans="1:9">
      <c r="A202" s="2"/>
      <c r="B202" s="2"/>
      <c r="C202" s="2"/>
      <c r="D202" s="3"/>
      <c r="E202" s="2"/>
      <c r="F202" s="5"/>
      <c r="G202" s="5"/>
      <c r="H202" s="2"/>
      <c r="I202" s="2"/>
    </row>
    <row r="203" spans="1:9">
      <c r="A203" s="2"/>
      <c r="B203" s="2"/>
      <c r="C203" s="2"/>
      <c r="D203" s="3"/>
      <c r="E203" s="2"/>
      <c r="F203" s="5"/>
      <c r="G203" s="5"/>
      <c r="H203" s="2"/>
      <c r="I203" s="2"/>
    </row>
  </sheetData>
  <mergeCells count="1">
    <mergeCell ref="A1:I1"/>
  </mergeCells>
  <dataValidations count="3">
    <dataValidation type="list" sqref="B4:B203" xr:uid="{00000000-0002-0000-0500-000000000000}">
      <formula1>"Inflow,Outflow"</formula1>
    </dataValidation>
    <dataValidation type="list" sqref="E4:E203" xr:uid="{00000000-0002-0000-0500-000001000000}">
      <formula1>"Weekly,Monthly,Quarterly,Yearly"</formula1>
    </dataValidation>
    <dataValidation type="list" sqref="H4:H203" xr:uid="{00000000-0002-0000-0500-000002000000}">
      <formula1>"Yes,No"</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4"/>
  <sheetViews>
    <sheetView showGridLines="0" tabSelected="1" zoomScale="130" workbookViewId="0">
      <selection activeCell="D34" sqref="D34"/>
    </sheetView>
  </sheetViews>
  <sheetFormatPr defaultRowHeight="14.25"/>
  <cols>
    <col min="1" max="1" width="26.125" customWidth="1"/>
    <col min="2" max="2" width="33.375" customWidth="1"/>
    <col min="3" max="3" width="18" customWidth="1"/>
    <col min="4" max="4" width="20" customWidth="1"/>
    <col min="5" max="5" width="19" customWidth="1"/>
    <col min="6" max="7" width="18" customWidth="1"/>
    <col min="8" max="8" width="22" customWidth="1"/>
  </cols>
  <sheetData>
    <row r="1" spans="1:8" ht="30" customHeight="1">
      <c r="A1" s="45" t="s">
        <v>210</v>
      </c>
      <c r="B1" s="45" t="s">
        <v>210</v>
      </c>
      <c r="C1" s="45" t="s">
        <v>210</v>
      </c>
      <c r="D1" s="45" t="s">
        <v>210</v>
      </c>
      <c r="E1" s="45" t="s">
        <v>210</v>
      </c>
      <c r="F1" s="45" t="s">
        <v>210</v>
      </c>
      <c r="G1" s="45" t="s">
        <v>210</v>
      </c>
      <c r="H1" s="45" t="s">
        <v>210</v>
      </c>
    </row>
    <row r="2" spans="1:8">
      <c r="A2" s="83" t="s">
        <v>211</v>
      </c>
      <c r="B2" s="48"/>
      <c r="C2" s="48"/>
      <c r="D2" s="48"/>
      <c r="E2" s="48"/>
      <c r="F2" s="48"/>
      <c r="G2" s="48"/>
      <c r="H2" s="48"/>
    </row>
    <row r="4" spans="1:8" ht="30">
      <c r="A4" s="1" t="s">
        <v>32</v>
      </c>
      <c r="B4" s="1" t="s">
        <v>212</v>
      </c>
      <c r="C4" s="1" t="s">
        <v>213</v>
      </c>
      <c r="D4" s="1" t="s">
        <v>214</v>
      </c>
      <c r="E4" s="1" t="s">
        <v>215</v>
      </c>
      <c r="F4" s="1" t="s">
        <v>216</v>
      </c>
      <c r="G4" s="1" t="s">
        <v>68</v>
      </c>
      <c r="H4" s="1" t="s">
        <v>217</v>
      </c>
    </row>
    <row r="5" spans="1:8">
      <c r="A5" s="24">
        <v>46235</v>
      </c>
      <c r="B5" s="10">
        <f>'01_START_HERE'!$G$12+SUMIFS('03_TRANSACTIONS'!$I$4:$I$203,'03_TRANSACTIONS'!$C$4:$C$203,"Inflow",'03_TRANSACTIONS'!$B$4:$B$203,"&lt;="&amp;'09_SETTINGS'!$I$8)-SUMIFS('03_TRANSACTIONS'!$I$4:$I$203,'03_TRANSACTIONS'!$C$4:$C$203,"Outflow",'03_TRANSACTIONS'!$B$4:$B$203,"&lt;="&amp;'09_SETTINGS'!$I$8)</f>
        <v>1440000</v>
      </c>
      <c r="C5" s="10">
        <f>SUMIFS('06_RECURRING'!$D$4:$D$203,'06_RECURRING'!$B$4:$B$203,"Inflow",'06_RECURRING'!$H$4:$H$203,"Yes")</f>
        <v>155000</v>
      </c>
      <c r="D5" s="10">
        <f>SUMIFS('04_RECEIVABLES'!$G$4:$G$203,'04_RECEIVABLES'!$J$4:$J$203,"&gt;="&amp;A5,'04_RECEIVABLES'!$J$4:$J$203,"&lt;"&amp;EDATE(A5,1))</f>
        <v>145000</v>
      </c>
      <c r="E5" s="10">
        <f>SUMIFS('06_RECURRING'!$D$4:$D$203,'06_RECURRING'!$B$4:$B$203,"Outflow",'06_RECURRING'!$H$4:$H$203,"Yes")</f>
        <v>122200</v>
      </c>
      <c r="F5" s="10">
        <f>SUMIFS('05_PAYABLES'!$F$4:$F$203,'05_PAYABLES'!$C$4:$C$203,"&gt;="&amp;A5,'05_PAYABLES'!$C$4:$C$203,"&lt;"&amp;EDATE(A5,1))</f>
        <v>0</v>
      </c>
      <c r="G5" s="10">
        <f>C5+D5-E5-F5</f>
        <v>177800</v>
      </c>
      <c r="H5" s="10">
        <f>B5+G5</f>
        <v>1617800</v>
      </c>
    </row>
    <row r="6" spans="1:8">
      <c r="A6" s="24">
        <v>46266</v>
      </c>
      <c r="B6" s="10">
        <f>H5</f>
        <v>1617800</v>
      </c>
      <c r="C6" s="10">
        <f>SUMIFS('06_RECURRING'!$D$4:$D$203,'06_RECURRING'!$B$4:$B$203,"Inflow",'06_RECURRING'!$H$4:$H$203,"Yes")</f>
        <v>155000</v>
      </c>
      <c r="D6" s="10">
        <f>SUMIFS('04_RECEIVABLES'!$G$4:$G$203,'04_RECEIVABLES'!$J$4:$J$203,"&gt;="&amp;A6,'04_RECEIVABLES'!$J$4:$J$203,"&lt;"&amp;EDATE(A6,1))</f>
        <v>120000</v>
      </c>
      <c r="E6" s="10">
        <f>SUMIFS('06_RECURRING'!$D$4:$D$203,'06_RECURRING'!$B$4:$B$203,"Outflow",'06_RECURRING'!$H$4:$H$203,"Yes")</f>
        <v>122200</v>
      </c>
      <c r="F6" s="10">
        <f>SUMIFS('05_PAYABLES'!$F$4:$F$203,'05_PAYABLES'!$C$4:$C$203,"&gt;="&amp;A6,'05_PAYABLES'!$C$4:$C$203,"&lt;"&amp;EDATE(A6,1))</f>
        <v>129200</v>
      </c>
      <c r="G6" s="10">
        <f>C6+D6-E6-F6</f>
        <v>23600</v>
      </c>
      <c r="H6" s="10">
        <f>B6+G6</f>
        <v>1641400</v>
      </c>
    </row>
    <row r="7" spans="1:8">
      <c r="A7" s="24">
        <v>46296</v>
      </c>
      <c r="B7" s="10">
        <f>H6</f>
        <v>1641400</v>
      </c>
      <c r="C7" s="10">
        <f>SUMIFS('06_RECURRING'!$D$4:$D$203,'06_RECURRING'!$B$4:$B$203,"Inflow",'06_RECURRING'!$H$4:$H$203,"Yes")</f>
        <v>155000</v>
      </c>
      <c r="D7" s="10">
        <f>SUMIFS('04_RECEIVABLES'!$G$4:$G$203,'04_RECEIVABLES'!$J$4:$J$203,"&gt;="&amp;A7,'04_RECEIVABLES'!$J$4:$J$203,"&lt;"&amp;EDATE(A7,1))</f>
        <v>0</v>
      </c>
      <c r="E7" s="10">
        <f>SUMIFS('06_RECURRING'!$D$4:$D$203,'06_RECURRING'!$B$4:$B$203,"Outflow",'06_RECURRING'!$H$4:$H$203,"Yes")</f>
        <v>122200</v>
      </c>
      <c r="F7" s="10">
        <f>SUMIFS('05_PAYABLES'!$F$4:$F$203,'05_PAYABLES'!$C$4:$C$203,"&gt;="&amp;A7,'05_PAYABLES'!$C$4:$C$203,"&lt;"&amp;EDATE(A7,1))</f>
        <v>0</v>
      </c>
      <c r="G7" s="10">
        <f>C7+D7-E7-F7</f>
        <v>32800</v>
      </c>
      <c r="H7" s="10">
        <f>B7+G7</f>
        <v>1674200</v>
      </c>
    </row>
    <row r="10" spans="1:8" ht="15">
      <c r="A10" s="46" t="s">
        <v>218</v>
      </c>
      <c r="B10" s="46" t="s">
        <v>218</v>
      </c>
      <c r="C10" s="46" t="s">
        <v>218</v>
      </c>
      <c r="D10" s="46" t="s">
        <v>218</v>
      </c>
    </row>
    <row r="11" spans="1:8">
      <c r="A11" s="25" t="s">
        <v>219</v>
      </c>
      <c r="B11" s="26">
        <f>'09_SETTINGS'!$I$4</f>
        <v>200000</v>
      </c>
    </row>
    <row r="12" spans="1:8">
      <c r="A12" s="25" t="s">
        <v>220</v>
      </c>
      <c r="B12" s="26">
        <f>MIN(H5:H7)</f>
        <v>1617800</v>
      </c>
    </row>
    <row r="13" spans="1:8">
      <c r="A13" s="25" t="s">
        <v>221</v>
      </c>
      <c r="B13" s="25" t="str">
        <f>IF(B12&lt;B11,"WARNING — projected cash below threshold","SAFE — projected cash above threshold")</f>
        <v>SAFE — projected cash above threshold</v>
      </c>
    </row>
    <row r="14" spans="1:8">
      <c r="A14" s="25" t="s">
        <v>222</v>
      </c>
      <c r="B14" s="27">
        <f>IFERROR(B5/'08_ANALYSIS'!$B$5,0)</f>
        <v>11.483253588516746</v>
      </c>
    </row>
  </sheetData>
  <mergeCells count="3">
    <mergeCell ref="A1:H1"/>
    <mergeCell ref="A2:H2"/>
    <mergeCell ref="A10:D10"/>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ellIs" priority="1" operator="lessThan" id="{00000000-000E-0000-0600-000001000000}">
            <xm:f>'09_SETTINGS'!$I$4</xm:f>
            <x14:dxf>
              <font>
                <b/>
                <color rgb="FFA12B2B"/>
              </font>
              <fill>
                <patternFill patternType="solid">
                  <bgColor rgb="FFFDE8E8"/>
                </patternFill>
              </fill>
            </x14:dxf>
          </x14:cfRule>
          <xm:sqref>H5:H7</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6"/>
  <sheetViews>
    <sheetView showGridLines="0" workbookViewId="0">
      <selection activeCell="D7" sqref="D7"/>
    </sheetView>
  </sheetViews>
  <sheetFormatPr defaultRowHeight="14.25"/>
  <cols>
    <col min="1" max="1" width="24" customWidth="1"/>
    <col min="2" max="3" width="18" customWidth="1"/>
    <col min="4" max="4" width="16" customWidth="1"/>
    <col min="6" max="6" width="3" customWidth="1"/>
    <col min="7" max="7" width="18" customWidth="1"/>
  </cols>
  <sheetData>
    <row r="1" spans="1:8" ht="30" customHeight="1">
      <c r="A1" s="45" t="s">
        <v>223</v>
      </c>
      <c r="B1" s="45" t="s">
        <v>223</v>
      </c>
      <c r="C1" s="45" t="s">
        <v>223</v>
      </c>
      <c r="D1" s="45" t="s">
        <v>223</v>
      </c>
      <c r="E1" s="45" t="s">
        <v>223</v>
      </c>
      <c r="F1" s="45" t="s">
        <v>223</v>
      </c>
      <c r="G1" s="45" t="s">
        <v>223</v>
      </c>
      <c r="H1" s="45" t="s">
        <v>223</v>
      </c>
    </row>
    <row r="3" spans="1:8" ht="15">
      <c r="A3" s="1" t="s">
        <v>224</v>
      </c>
      <c r="B3" s="1" t="s">
        <v>225</v>
      </c>
      <c r="C3" s="1" t="s">
        <v>226</v>
      </c>
      <c r="D3" s="1" t="s">
        <v>227</v>
      </c>
    </row>
    <row r="4" spans="1:8">
      <c r="A4" t="s">
        <v>33</v>
      </c>
      <c r="B4" s="10">
        <f>SUMIFS('03_TRANSACTIONS'!$I$4:$I$203,'03_TRANSACTIONS'!$C$4:$C$203,"Inflow",'03_TRANSACTIONS'!$B$4:$B$203,"&gt;="&amp;DATE(YEAR('09_SETTINGS'!$I$8),MONTH('09_SETTINGS'!$I$8),1),'03_TRANSACTIONS'!$B$4:$B$203,"&lt;="&amp;'09_SETTINGS'!$I$8)</f>
        <v>240000</v>
      </c>
      <c r="C4" s="10">
        <f>SUMIFS('03_TRANSACTIONS'!$I$4:$I$203,'03_TRANSACTIONS'!$C$4:$C$203,"Inflow",'03_TRANSACTIONS'!$M$4:$M$203,TEXT(EDATE('09_SETTINGS'!$I$8,-1),"mmm-yy"))</f>
        <v>115000</v>
      </c>
      <c r="D4" s="28">
        <f>IFERROR(B4/C4-1,0)</f>
        <v>1.0869565217391304</v>
      </c>
    </row>
    <row r="5" spans="1:8">
      <c r="A5" t="s">
        <v>34</v>
      </c>
      <c r="B5" s="10">
        <f>SUMIFS('03_TRANSACTIONS'!$I$4:$I$203,'03_TRANSACTIONS'!$C$4:$C$203,"Outflow",'03_TRANSACTIONS'!$B$4:$B$203,"&gt;="&amp;DATE(YEAR('09_SETTINGS'!$I$8),MONTH('09_SETTINGS'!$I$8),1),'03_TRANSACTIONS'!$B$4:$B$203,"&lt;="&amp;'09_SETTINGS'!$I$8)</f>
        <v>125400</v>
      </c>
      <c r="C5" s="10">
        <f>SUMIFS('03_TRANSACTIONS'!$I$4:$I$203,'03_TRANSACTIONS'!$C$4:$C$203,"Outflow",'03_TRANSACTIONS'!$M$4:$M$203,TEXT(EDATE('09_SETTINGS'!$I$8,-1),"mmm-yy"))</f>
        <v>109000</v>
      </c>
      <c r="D5" s="28">
        <f>IFERROR(B5/C5-1,0)</f>
        <v>0.15045871559633017</v>
      </c>
    </row>
    <row r="6" spans="1:8">
      <c r="A6" t="s">
        <v>68</v>
      </c>
      <c r="B6" s="10">
        <f>B4-B5</f>
        <v>114600</v>
      </c>
      <c r="C6" s="10">
        <f>C4-C5</f>
        <v>6000</v>
      </c>
      <c r="D6" s="28">
        <f>IFERROR(B6/C6-1,0)</f>
        <v>18.100000000000001</v>
      </c>
    </row>
    <row r="7" spans="1:8">
      <c r="A7" t="s">
        <v>228</v>
      </c>
      <c r="B7" s="10">
        <f>SUM('04_RECEIVABLES'!$G$4:$G$203)</f>
        <v>365000</v>
      </c>
      <c r="C7" s="44" t="str">
        <f>"N/A"</f>
        <v>N/A</v>
      </c>
      <c r="D7" s="28">
        <f>IFERROR(B7/C7-1,0)</f>
        <v>0</v>
      </c>
    </row>
    <row r="10" spans="1:8" ht="15">
      <c r="A10" s="46" t="s">
        <v>229</v>
      </c>
      <c r="B10" s="46" t="s">
        <v>229</v>
      </c>
      <c r="C10" s="46" t="s">
        <v>229</v>
      </c>
      <c r="D10" s="46" t="s">
        <v>229</v>
      </c>
    </row>
    <row r="11" spans="1:8" ht="15">
      <c r="A11" s="1" t="s">
        <v>83</v>
      </c>
      <c r="B11" s="1" t="s">
        <v>225</v>
      </c>
      <c r="C11" s="1" t="s">
        <v>226</v>
      </c>
      <c r="D11" s="1" t="s">
        <v>227</v>
      </c>
    </row>
    <row r="12" spans="1:8">
      <c r="A12" t="s">
        <v>48</v>
      </c>
      <c r="B12" s="10">
        <f>SUMIFS('03_TRANSACTIONS'!$I$4:$I$203,'03_TRANSACTIONS'!$D$4:$D$203,A12,'03_TRANSACTIONS'!$C$4:$C$203,"Outflow",'03_TRANSACTIONS'!$B$4:$B$203,"&gt;="&amp;DATE(YEAR('09_SETTINGS'!$I$8),MONTH('09_SETTINGS'!$I$8),1),'03_TRANSACTIONS'!$B$4:$B$203,"&lt;="&amp;'09_SETTINGS'!$I$8)</f>
        <v>75000</v>
      </c>
      <c r="C12" s="10">
        <f>SUMIFS('03_TRANSACTIONS'!$I$4:$I$203,'03_TRANSACTIONS'!$D$4:$D$203,A12,'03_TRANSACTIONS'!$C$4:$C$203,"Outflow",'03_TRANSACTIONS'!$M$4:$M$203,TEXT(EDATE('09_SETTINGS'!$I$8,-1),"mmm-yy"))</f>
        <v>72000</v>
      </c>
      <c r="D12" s="28">
        <f>IFERROR(B12/C12-1,0)</f>
        <v>4.1666666666666741E-2</v>
      </c>
    </row>
    <row r="13" spans="1:8">
      <c r="A13" t="s">
        <v>49</v>
      </c>
      <c r="B13" s="10">
        <f>SUMIFS('03_TRANSACTIONS'!$I$4:$I$203,'03_TRANSACTIONS'!$D$4:$D$203,A13,'03_TRANSACTIONS'!$C$4:$C$203,"Outflow",'03_TRANSACTIONS'!$B$4:$B$203,"&gt;="&amp;DATE(YEAR('09_SETTINGS'!$I$8),MONTH('09_SETTINGS'!$I$8),1),'03_TRANSACTIONS'!$B$4:$B$203,"&lt;="&amp;'09_SETTINGS'!$I$8)</f>
        <v>25000</v>
      </c>
      <c r="C13" s="10">
        <f>SUMIFS('03_TRANSACTIONS'!$I$4:$I$203,'03_TRANSACTIONS'!$D$4:$D$203,A13,'03_TRANSACTIONS'!$C$4:$C$203,"Outflow",'03_TRANSACTIONS'!$M$4:$M$203,TEXT(EDATE('09_SETTINGS'!$I$8,-1),"mmm-yy"))</f>
        <v>25000</v>
      </c>
      <c r="D13" s="28">
        <f>IFERROR(B13/C13-1,0)</f>
        <v>0</v>
      </c>
    </row>
    <row r="14" spans="1:8">
      <c r="A14" t="s">
        <v>50</v>
      </c>
      <c r="B14" s="10">
        <f>SUMIFS('03_TRANSACTIONS'!$I$4:$I$203,'03_TRANSACTIONS'!$D$4:$D$203,A14,'03_TRANSACTIONS'!$C$4:$C$203,"Outflow",'03_TRANSACTIONS'!$B$4:$B$203,"&gt;="&amp;DATE(YEAR('09_SETTINGS'!$I$8),MONTH('09_SETTINGS'!$I$8),1),'03_TRANSACTIONS'!$B$4:$B$203,"&lt;="&amp;'09_SETTINGS'!$I$8)</f>
        <v>18000</v>
      </c>
      <c r="C14" s="10">
        <f>SUMIFS('03_TRANSACTIONS'!$I$4:$I$203,'03_TRANSACTIONS'!$D$4:$D$203,A14,'03_TRANSACTIONS'!$C$4:$C$203,"Outflow",'03_TRANSACTIONS'!$M$4:$M$203,TEXT(EDATE('09_SETTINGS'!$I$8,-1),"mmm-yy"))</f>
        <v>12000</v>
      </c>
      <c r="D14" s="28">
        <f>IFERROR(B14/C14-1,0)</f>
        <v>0.5</v>
      </c>
    </row>
    <row r="15" spans="1:8">
      <c r="A15" t="s">
        <v>56</v>
      </c>
      <c r="B15" s="10">
        <f>SUMIFS('03_TRANSACTIONS'!$I$4:$I$203,'03_TRANSACTIONS'!$D$4:$D$203,A15,'03_TRANSACTIONS'!$C$4:$C$203,"Outflow",'03_TRANSACTIONS'!$B$4:$B$203,"&gt;="&amp;DATE(YEAR('09_SETTINGS'!$I$8),MONTH('09_SETTINGS'!$I$8),1),'03_TRANSACTIONS'!$B$4:$B$203,"&lt;="&amp;'09_SETTINGS'!$I$8)</f>
        <v>4200</v>
      </c>
      <c r="C15" s="10">
        <f>SUMIFS('03_TRANSACTIONS'!$I$4:$I$203,'03_TRANSACTIONS'!$D$4:$D$203,A15,'03_TRANSACTIONS'!$C$4:$C$203,"Outflow",'03_TRANSACTIONS'!$M$4:$M$203,"mmm-yy")</f>
        <v>0</v>
      </c>
      <c r="D15" s="28">
        <f>IFERROR(B15/C15-1,0)</f>
        <v>0</v>
      </c>
    </row>
    <row r="16" spans="1:8">
      <c r="A16" t="s">
        <v>170</v>
      </c>
      <c r="B16" s="10">
        <f>SUMIFS('03_TRANSACTIONS'!$I$4:$I$203,'03_TRANSACTIONS'!$D$4:$D$203,A16,'03_TRANSACTIONS'!$C$4:$C$203,"Outflow",'03_TRANSACTIONS'!$B$4:$B$203,"&gt;="&amp;DATE(YEAR('09_SETTINGS'!$I$8),MONTH('09_SETTINGS'!$I$8),1),'03_TRANSACTIONS'!$B$4:$B$203,"&lt;="&amp;'09_SETTINGS'!$I$8)</f>
        <v>0</v>
      </c>
      <c r="C16" s="10">
        <f>SUMIFS('03_TRANSACTIONS'!$I$4:$I$203,'03_TRANSACTIONS'!$D$4:$D$203,A16,'03_TRANSACTIONS'!$C$4:$C$203,"Outflow",'03_TRANSACTIONS'!$M$4:$M$203,"mmm-yy")</f>
        <v>0</v>
      </c>
      <c r="D16" s="28">
        <f>IFERROR(B16/C16-1,0)</f>
        <v>0</v>
      </c>
    </row>
  </sheetData>
  <mergeCells count="2">
    <mergeCell ref="A1:H1"/>
    <mergeCell ref="A10:D10"/>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ellIs" priority="1" operator="greaterThan" id="{00000000-000E-0000-0700-000001000000}">
            <xm:f>'09_SETTINGS'!$I$6</xm:f>
            <x14:dxf>
              <font>
                <b/>
                <color rgb="FF8A5A00"/>
              </font>
              <fill>
                <patternFill patternType="solid">
                  <bgColor rgb="FFFFF3CD"/>
                </patternFill>
              </fill>
            </x14:dxf>
          </x14:cfRule>
          <xm:sqref>D12:D16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15"/>
  <sheetViews>
    <sheetView showGridLines="0" workbookViewId="0">
      <selection activeCell="I7" sqref="I7"/>
    </sheetView>
  </sheetViews>
  <sheetFormatPr defaultRowHeight="14.25"/>
  <cols>
    <col min="1" max="1" width="21.625" customWidth="1"/>
    <col min="2" max="2" width="20" customWidth="1"/>
    <col min="4" max="4" width="16" customWidth="1"/>
    <col min="6" max="6" width="18" customWidth="1"/>
    <col min="8" max="8" width="26" customWidth="1"/>
    <col min="9" max="9" width="18" customWidth="1"/>
    <col min="11" max="13" width="14" customWidth="1"/>
  </cols>
  <sheetData>
    <row r="1" spans="1:13" ht="30" customHeight="1">
      <c r="A1" s="45" t="s">
        <v>230</v>
      </c>
      <c r="B1" s="45" t="s">
        <v>230</v>
      </c>
      <c r="C1" s="45" t="s">
        <v>230</v>
      </c>
      <c r="D1" s="45" t="s">
        <v>230</v>
      </c>
      <c r="E1" s="45" t="s">
        <v>230</v>
      </c>
      <c r="F1" s="45" t="s">
        <v>230</v>
      </c>
      <c r="G1" s="45" t="s">
        <v>230</v>
      </c>
      <c r="H1" s="45" t="s">
        <v>230</v>
      </c>
    </row>
    <row r="3" spans="1:13" ht="15">
      <c r="A3" s="1" t="s">
        <v>231</v>
      </c>
      <c r="B3" s="1" t="s">
        <v>232</v>
      </c>
      <c r="D3" s="1" t="s">
        <v>233</v>
      </c>
      <c r="F3" s="1" t="s">
        <v>234</v>
      </c>
      <c r="H3" s="1" t="s">
        <v>235</v>
      </c>
      <c r="K3" s="1" t="s">
        <v>236</v>
      </c>
      <c r="L3" s="1" t="s">
        <v>190</v>
      </c>
      <c r="M3" s="1" t="s">
        <v>199</v>
      </c>
    </row>
    <row r="4" spans="1:13">
      <c r="A4" t="s">
        <v>111</v>
      </c>
      <c r="B4" t="s">
        <v>48</v>
      </c>
      <c r="D4" t="s">
        <v>95</v>
      </c>
      <c r="F4" t="s">
        <v>98</v>
      </c>
      <c r="H4" t="s">
        <v>219</v>
      </c>
      <c r="I4" s="3">
        <v>200000</v>
      </c>
      <c r="K4" t="s">
        <v>33</v>
      </c>
      <c r="L4" t="s">
        <v>191</v>
      </c>
      <c r="M4" t="s">
        <v>237</v>
      </c>
    </row>
    <row r="5" spans="1:13">
      <c r="A5" t="s">
        <v>92</v>
      </c>
      <c r="B5" t="s">
        <v>49</v>
      </c>
      <c r="D5" t="s">
        <v>238</v>
      </c>
      <c r="F5" t="s">
        <v>114</v>
      </c>
      <c r="H5" t="s">
        <v>239</v>
      </c>
      <c r="I5" s="2">
        <v>7</v>
      </c>
      <c r="K5" t="s">
        <v>34</v>
      </c>
      <c r="L5" t="s">
        <v>193</v>
      </c>
      <c r="M5" t="s">
        <v>205</v>
      </c>
    </row>
    <row r="6" spans="1:13">
      <c r="A6" t="s">
        <v>240</v>
      </c>
      <c r="B6" t="s">
        <v>50</v>
      </c>
      <c r="D6" t="s">
        <v>241</v>
      </c>
      <c r="F6" t="s">
        <v>241</v>
      </c>
      <c r="H6" t="s">
        <v>242</v>
      </c>
      <c r="I6" s="4">
        <v>0.2</v>
      </c>
      <c r="K6" t="s">
        <v>97</v>
      </c>
      <c r="L6" t="s">
        <v>243</v>
      </c>
      <c r="M6" t="s">
        <v>244</v>
      </c>
    </row>
    <row r="7" spans="1:13">
      <c r="A7" t="s">
        <v>245</v>
      </c>
      <c r="B7" t="s">
        <v>56</v>
      </c>
      <c r="D7" t="s">
        <v>114</v>
      </c>
      <c r="F7" t="s">
        <v>109</v>
      </c>
      <c r="H7" t="s">
        <v>246</v>
      </c>
      <c r="I7" s="2">
        <v>90</v>
      </c>
      <c r="K7" t="s">
        <v>103</v>
      </c>
      <c r="M7" t="s">
        <v>247</v>
      </c>
    </row>
    <row r="8" spans="1:13">
      <c r="B8" t="s">
        <v>129</v>
      </c>
      <c r="D8" t="s">
        <v>248</v>
      </c>
      <c r="F8" t="s">
        <v>249</v>
      </c>
      <c r="H8" t="s">
        <v>250</v>
      </c>
      <c r="I8" s="5">
        <v>46265</v>
      </c>
      <c r="K8" t="s">
        <v>251</v>
      </c>
    </row>
    <row r="9" spans="1:13">
      <c r="B9" t="s">
        <v>170</v>
      </c>
      <c r="D9" t="s">
        <v>252</v>
      </c>
      <c r="K9" t="s">
        <v>206</v>
      </c>
    </row>
    <row r="10" spans="1:13">
      <c r="B10" t="s">
        <v>121</v>
      </c>
    </row>
    <row r="11" spans="1:13">
      <c r="B11" t="s">
        <v>253</v>
      </c>
    </row>
    <row r="12" spans="1:13">
      <c r="B12" t="s">
        <v>195</v>
      </c>
    </row>
    <row r="13" spans="1:13">
      <c r="B13" t="s">
        <v>254</v>
      </c>
    </row>
    <row r="14" spans="1:13">
      <c r="B14" t="s">
        <v>255</v>
      </c>
    </row>
    <row r="15" spans="1:13">
      <c r="B15" t="s">
        <v>252</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01_START_HERE</vt:lpstr>
      <vt:lpstr>02_DASHBOARD</vt:lpstr>
      <vt:lpstr>03_TRANSACTIONS</vt:lpstr>
      <vt:lpstr>04_RECEIVABLES</vt:lpstr>
      <vt:lpstr>05_PAYABLES</vt:lpstr>
      <vt:lpstr>06_RECURRING</vt:lpstr>
      <vt:lpstr>07_FORECAST</vt:lpstr>
      <vt:lpstr>08_ANALYSIS</vt:lpstr>
      <vt:lpstr>09_SETTINGS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Shivam THAKUR</cp:lastModifiedBy>
  <dcterms:modified xsi:type="dcterms:W3CDTF">2026-08-13T18:10:00Z</dcterms:modified>
</cp:coreProperties>
</file>