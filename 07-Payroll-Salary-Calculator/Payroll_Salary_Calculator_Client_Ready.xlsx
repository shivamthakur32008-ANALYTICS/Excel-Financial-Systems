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88ED3192B30C47D9/"/>
    </mc:Choice>
  </mc:AlternateContent>
  <xr:revisionPtr revIDLastSave="1" documentId="11_DCB330AC1C2D1F03E6CEC6C91B3D352BDC42E1D6" xr6:coauthVersionLast="47" xr6:coauthVersionMax="47" xr10:uidLastSave="{E70C1B7B-22B5-4F81-BF97-750ACD4F3DC8}"/>
  <bookViews>
    <workbookView xWindow="-120" yWindow="-120" windowWidth="29040" windowHeight="16440" xr2:uid="{00000000-000D-0000-FFFF-FFFF00000000}"/>
  </bookViews>
  <sheets>
    <sheet name="01_Cover" sheetId="1" r:id="rId1"/>
    <sheet name="02_Dashboard" sheetId="2" r:id="rId2"/>
    <sheet name="03_Control_Settings" sheetId="3" r:id="rId3"/>
    <sheet name="04_Employee_Master" sheetId="4" r:id="rId4"/>
    <sheet name="05_Salary_Structure" sheetId="5" r:id="rId5"/>
    <sheet name="06_Attendance_Leave" sheetId="6" r:id="rId6"/>
    <sheet name="07_Overtime" sheetId="7" r:id="rId7"/>
    <sheet name="08_Payroll_Calculator" sheetId="8" r:id="rId8"/>
    <sheet name="09_Statutory_Tax" sheetId="9" r:id="rId9"/>
    <sheet name="10_Payroll_Register" sheetId="10" r:id="rId10"/>
    <sheet name="11_Salary_Slip" sheetId="11" r:id="rId11"/>
    <sheet name="12_Department_Analysis" sheetId="12" r:id="rId12"/>
    <sheet name="13_Payroll_Variance" sheetId="13" r:id="rId13"/>
    <sheet name="14_Employee_Cost" sheetId="14" r:id="rId14"/>
    <sheet name="15_Loan_Advance" sheetId="15" r:id="rId15"/>
    <sheet name="16_Bonus_Incentive" sheetId="16" r:id="rId16"/>
    <sheet name="17_Full_Final" sheetId="17" r:id="rId17"/>
    <sheet name="18_Reconciliation" sheetId="18" r:id="rId18"/>
    <sheet name="19_Notes" sheetId="19" r:id="rId19"/>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18" l="1"/>
  <c r="E5" i="18" s="1"/>
  <c r="C5" i="18"/>
  <c r="B5" i="18"/>
  <c r="I5" i="17"/>
  <c r="E9" i="15"/>
  <c r="E8" i="15"/>
  <c r="E7" i="15"/>
  <c r="E6" i="15"/>
  <c r="E5" i="15"/>
  <c r="B9" i="11"/>
  <c r="B7" i="11"/>
  <c r="B6" i="11"/>
  <c r="B5" i="11"/>
  <c r="H9" i="10"/>
  <c r="A9" i="10"/>
  <c r="H8" i="10"/>
  <c r="A8" i="10"/>
  <c r="H7" i="10"/>
  <c r="A7" i="10"/>
  <c r="H6" i="10"/>
  <c r="A6" i="10"/>
  <c r="H5" i="10"/>
  <c r="A5" i="10"/>
  <c r="P9" i="8"/>
  <c r="N9" i="8"/>
  <c r="L9" i="8"/>
  <c r="K9" i="8"/>
  <c r="J9" i="8"/>
  <c r="G9" i="8"/>
  <c r="F9" i="8"/>
  <c r="E9" i="8"/>
  <c r="D9" i="8"/>
  <c r="D9" i="14" s="1"/>
  <c r="C9" i="8"/>
  <c r="C9" i="10" s="1"/>
  <c r="B9" i="8"/>
  <c r="B9" i="10" s="1"/>
  <c r="B9" i="14" s="1"/>
  <c r="P8" i="8"/>
  <c r="N8" i="8"/>
  <c r="L8" i="8"/>
  <c r="K8" i="8"/>
  <c r="J8" i="8"/>
  <c r="G8" i="8"/>
  <c r="F8" i="8"/>
  <c r="E8" i="8"/>
  <c r="D8" i="8"/>
  <c r="D8" i="14" s="1"/>
  <c r="C8" i="8"/>
  <c r="C8" i="10" s="1"/>
  <c r="B8" i="8"/>
  <c r="B8" i="10" s="1"/>
  <c r="P7" i="8"/>
  <c r="N7" i="8"/>
  <c r="L7" i="8"/>
  <c r="G7" i="8"/>
  <c r="F7" i="8"/>
  <c r="E7" i="8"/>
  <c r="D7" i="8"/>
  <c r="J7" i="8" s="1"/>
  <c r="C7" i="8"/>
  <c r="C7" i="10" s="1"/>
  <c r="B7" i="8"/>
  <c r="B7" i="10" s="1"/>
  <c r="P6" i="8"/>
  <c r="O6" i="8"/>
  <c r="N6" i="8"/>
  <c r="L6" i="8"/>
  <c r="J6" i="8"/>
  <c r="G6" i="8"/>
  <c r="F6" i="8"/>
  <c r="E6" i="8"/>
  <c r="D6" i="8"/>
  <c r="D6" i="14" s="1"/>
  <c r="C6" i="8"/>
  <c r="C6" i="10" s="1"/>
  <c r="B6" i="8"/>
  <c r="B6" i="10" s="1"/>
  <c r="P5" i="8"/>
  <c r="O5" i="8"/>
  <c r="E18" i="11" s="1"/>
  <c r="N5" i="8"/>
  <c r="E17" i="11" s="1"/>
  <c r="L5" i="8"/>
  <c r="E15" i="11" s="1"/>
  <c r="G5" i="8"/>
  <c r="F5" i="8"/>
  <c r="B15" i="11" s="1"/>
  <c r="E5" i="8"/>
  <c r="B14" i="11" s="1"/>
  <c r="D5" i="8"/>
  <c r="D5" i="14" s="1"/>
  <c r="C5" i="8"/>
  <c r="C5" i="10" s="1"/>
  <c r="B5" i="8"/>
  <c r="B5" i="10" s="1"/>
  <c r="D9" i="7"/>
  <c r="C9" i="7"/>
  <c r="F9" i="7" s="1"/>
  <c r="H9" i="8" s="1"/>
  <c r="B9" i="7"/>
  <c r="C8" i="7"/>
  <c r="B8" i="7"/>
  <c r="D7" i="7"/>
  <c r="C7" i="7"/>
  <c r="F7" i="7" s="1"/>
  <c r="H7" i="8" s="1"/>
  <c r="B7" i="7"/>
  <c r="C6" i="7"/>
  <c r="B6" i="7"/>
  <c r="D5" i="7"/>
  <c r="C5" i="7"/>
  <c r="F5" i="7" s="1"/>
  <c r="B5" i="7"/>
  <c r="H9" i="6"/>
  <c r="H8" i="6"/>
  <c r="H7" i="6"/>
  <c r="H6" i="6"/>
  <c r="H5" i="6"/>
  <c r="B10" i="11" s="1"/>
  <c r="J9" i="5"/>
  <c r="I9" i="5"/>
  <c r="H9" i="5"/>
  <c r="G9" i="5"/>
  <c r="F9" i="5"/>
  <c r="E9" i="5"/>
  <c r="D9" i="5"/>
  <c r="C9" i="5"/>
  <c r="B9" i="5"/>
  <c r="J8" i="5"/>
  <c r="I8" i="5"/>
  <c r="H8" i="5"/>
  <c r="G8" i="5"/>
  <c r="F8" i="5"/>
  <c r="E8" i="5"/>
  <c r="D8" i="5"/>
  <c r="C8" i="5"/>
  <c r="B8" i="5"/>
  <c r="J7" i="5"/>
  <c r="I7" i="5"/>
  <c r="H7" i="5"/>
  <c r="G7" i="5"/>
  <c r="F7" i="5"/>
  <c r="E7" i="5"/>
  <c r="D7" i="5"/>
  <c r="C7" i="5"/>
  <c r="B7" i="5"/>
  <c r="J6" i="5"/>
  <c r="I6" i="5"/>
  <c r="H6" i="5"/>
  <c r="G6" i="5"/>
  <c r="F6" i="5"/>
  <c r="E6" i="5"/>
  <c r="D6" i="5"/>
  <c r="C6" i="5"/>
  <c r="B6" i="5"/>
  <c r="J5" i="5"/>
  <c r="I5" i="5"/>
  <c r="H5" i="5"/>
  <c r="G5" i="5"/>
  <c r="F5" i="5"/>
  <c r="E5" i="5"/>
  <c r="D5" i="5"/>
  <c r="C5" i="5"/>
  <c r="B5" i="5"/>
  <c r="P9" i="4"/>
  <c r="O9" i="4"/>
  <c r="O9" i="8" s="1"/>
  <c r="O8" i="4"/>
  <c r="O8" i="8" s="1"/>
  <c r="P7" i="4"/>
  <c r="O7" i="4"/>
  <c r="O7" i="8" s="1"/>
  <c r="O6" i="4"/>
  <c r="P6" i="4" s="1"/>
  <c r="P5" i="4"/>
  <c r="O5" i="4"/>
  <c r="A6" i="2"/>
  <c r="C5" i="13" s="1"/>
  <c r="D5" i="13" s="1"/>
  <c r="E5" i="13" s="1"/>
  <c r="H5" i="8" l="1"/>
  <c r="B17" i="11" s="1"/>
  <c r="I9" i="8"/>
  <c r="B7" i="14"/>
  <c r="I5" i="8"/>
  <c r="B9" i="12"/>
  <c r="B7" i="12"/>
  <c r="B5" i="12"/>
  <c r="B17" i="2"/>
  <c r="B15" i="2"/>
  <c r="B13" i="2"/>
  <c r="B8" i="12"/>
  <c r="B6" i="12"/>
  <c r="B16" i="2"/>
  <c r="B14" i="2"/>
  <c r="J5" i="8"/>
  <c r="D7" i="14"/>
  <c r="D6" i="7"/>
  <c r="F6" i="7" s="1"/>
  <c r="D8" i="7"/>
  <c r="F8" i="7" s="1"/>
  <c r="H8" i="8" s="1"/>
  <c r="I8" i="8" s="1"/>
  <c r="B6" i="14"/>
  <c r="P8" i="4"/>
  <c r="D8" i="2"/>
  <c r="I7" i="8"/>
  <c r="B8" i="14"/>
  <c r="B16" i="11"/>
  <c r="B5" i="14"/>
  <c r="B13" i="11"/>
  <c r="E8" i="14" l="1"/>
  <c r="S8" i="8"/>
  <c r="G8" i="10" s="1"/>
  <c r="D8" i="10"/>
  <c r="M8" i="8"/>
  <c r="Q8" i="8" s="1"/>
  <c r="E8" i="10" s="1"/>
  <c r="H6" i="8"/>
  <c r="C8" i="2"/>
  <c r="C8" i="13" s="1"/>
  <c r="D8" i="13" s="1"/>
  <c r="E8" i="13" s="1"/>
  <c r="Q5" i="8"/>
  <c r="E13" i="11"/>
  <c r="D5" i="10"/>
  <c r="M5" i="8"/>
  <c r="E16" i="11" s="1"/>
  <c r="B18" i="11"/>
  <c r="S5" i="8"/>
  <c r="G5" i="10" s="1"/>
  <c r="K5" i="8"/>
  <c r="E14" i="11" s="1"/>
  <c r="E5" i="14"/>
  <c r="D9" i="10"/>
  <c r="E9" i="14"/>
  <c r="M9" i="8"/>
  <c r="Q9" i="8" s="1"/>
  <c r="E9" i="10" s="1"/>
  <c r="S9" i="8"/>
  <c r="G9" i="10" s="1"/>
  <c r="D7" i="10"/>
  <c r="S7" i="8"/>
  <c r="G7" i="10" s="1"/>
  <c r="K7" i="8"/>
  <c r="Q7" i="8" s="1"/>
  <c r="E7" i="10" s="1"/>
  <c r="E7" i="14"/>
  <c r="M7" i="8"/>
  <c r="R7" i="8" l="1"/>
  <c r="F7" i="10" s="1"/>
  <c r="D15" i="2" s="1"/>
  <c r="C9" i="12"/>
  <c r="E9" i="12" s="1"/>
  <c r="C9" i="14"/>
  <c r="F9" i="14" s="1"/>
  <c r="C17" i="2"/>
  <c r="E13" i="2"/>
  <c r="D5" i="12"/>
  <c r="C6" i="18"/>
  <c r="I6" i="8"/>
  <c r="D7" i="12"/>
  <c r="E15" i="2"/>
  <c r="C8" i="14"/>
  <c r="F8" i="14" s="1"/>
  <c r="C16" i="2"/>
  <c r="C8" i="12"/>
  <c r="E8" i="12" s="1"/>
  <c r="C5" i="14"/>
  <c r="F5" i="14" s="1"/>
  <c r="C13" i="2"/>
  <c r="C5" i="12"/>
  <c r="R8" i="8"/>
  <c r="F8" i="10" s="1"/>
  <c r="D16" i="2" s="1"/>
  <c r="E5" i="10"/>
  <c r="E19" i="11"/>
  <c r="C7" i="14"/>
  <c r="F7" i="14" s="1"/>
  <c r="C7" i="12"/>
  <c r="E7" i="12" s="1"/>
  <c r="C15" i="2"/>
  <c r="R9" i="8"/>
  <c r="F9" i="10" s="1"/>
  <c r="D17" i="2" s="1"/>
  <c r="R5" i="8"/>
  <c r="D8" i="12"/>
  <c r="E16" i="2"/>
  <c r="E17" i="2"/>
  <c r="D9" i="12"/>
  <c r="F5" i="10" l="1"/>
  <c r="B21" i="11"/>
  <c r="E6" i="14"/>
  <c r="D6" i="10"/>
  <c r="S6" i="8"/>
  <c r="G6" i="10" s="1"/>
  <c r="K6" i="8"/>
  <c r="Q6" i="8" s="1"/>
  <c r="E6" i="10" s="1"/>
  <c r="C6" i="2" s="1"/>
  <c r="R6" i="8"/>
  <c r="F6" i="10" s="1"/>
  <c r="D14" i="2" s="1"/>
  <c r="M6" i="8"/>
  <c r="B6" i="18"/>
  <c r="D6" i="18" s="1"/>
  <c r="E6" i="18" s="1"/>
  <c r="E5" i="12"/>
  <c r="D6" i="12" l="1"/>
  <c r="E14" i="2"/>
  <c r="A8" i="2"/>
  <c r="C6" i="12"/>
  <c r="C6" i="14"/>
  <c r="F6" i="14" s="1"/>
  <c r="C14" i="2"/>
  <c r="C8" i="18"/>
  <c r="B6" i="2"/>
  <c r="C6" i="13" s="1"/>
  <c r="D6" i="13" s="1"/>
  <c r="E6" i="13" s="1"/>
  <c r="C7" i="18"/>
  <c r="B7" i="18"/>
  <c r="D7" i="18" s="1"/>
  <c r="E7" i="18" s="1"/>
  <c r="C9" i="18"/>
  <c r="B9" i="18"/>
  <c r="D9" i="18" s="1"/>
  <c r="E9" i="18" s="1"/>
  <c r="B8" i="2"/>
  <c r="D6" i="2"/>
  <c r="C7" i="13" s="1"/>
  <c r="D7" i="13" s="1"/>
  <c r="E7" i="13" s="1"/>
  <c r="D13" i="2"/>
  <c r="E6" i="12" l="1"/>
  <c r="B8" i="18"/>
  <c r="D8" i="18" s="1"/>
  <c r="E8" i="18" s="1"/>
</calcChain>
</file>

<file path=xl/sharedStrings.xml><?xml version="1.0" encoding="utf-8"?>
<sst xmlns="http://schemas.openxmlformats.org/spreadsheetml/2006/main" count="417" uniqueCount="214">
  <si>
    <t>MONTHLY PAYROLL &amp; SALARY CALCULATOR</t>
  </si>
  <si>
    <t>Secure • Configurable • Client-ready payroll workbook</t>
  </si>
  <si>
    <t>Company Name</t>
  </si>
  <si>
    <t>Northstar Services Pvt. Ltd.</t>
  </si>
  <si>
    <t>Payroll Month</t>
  </si>
  <si>
    <t>August 2026</t>
  </si>
  <si>
    <t>Financial Year</t>
  </si>
  <si>
    <t>FY 2026–27</t>
  </si>
  <si>
    <t>Prepared By</t>
  </si>
  <si>
    <t>Payroll Team</t>
  </si>
  <si>
    <t>Payroll Status</t>
  </si>
  <si>
    <t>Draft / Review</t>
  </si>
  <si>
    <t>Last Updated</t>
  </si>
  <si>
    <t>CONFIDENTIAL — PAYROLL INFORMATION
For authorized internal and client use only.</t>
  </si>
  <si>
    <t>PAYROLL SUMMARY DASHBOARD</t>
  </si>
  <si>
    <t>August 2026 • FY 2026–27 • INR</t>
  </si>
  <si>
    <t>Total Employees</t>
  </si>
  <si>
    <t>Gross Payroll</t>
  </si>
  <si>
    <t>Total Deductions</t>
  </si>
  <si>
    <t>Net Payroll</t>
  </si>
  <si>
    <t>Employer Cost</t>
  </si>
  <si>
    <t>Average Salary</t>
  </si>
  <si>
    <t>Overtime Cost</t>
  </si>
  <si>
    <t>Total LOP</t>
  </si>
  <si>
    <t>Payroll by department</t>
  </si>
  <si>
    <t>Department</t>
  </si>
  <si>
    <t>Headcount</t>
  </si>
  <si>
    <t>Sales</t>
  </si>
  <si>
    <t>Operations</t>
  </si>
  <si>
    <t>Technology</t>
  </si>
  <si>
    <t>Finance</t>
  </si>
  <si>
    <t>HR</t>
  </si>
  <si>
    <t>CONTROL &amp; SETTINGS</t>
  </si>
  <si>
    <t>Configurable statutory &amp; calculation rules</t>
  </si>
  <si>
    <t>Rule</t>
  </si>
  <si>
    <t>Applicable?</t>
  </si>
  <si>
    <t>Rate / Amount</t>
  </si>
  <si>
    <t>Effective From</t>
  </si>
  <si>
    <t>Employee PF</t>
  </si>
  <si>
    <t>Yes</t>
  </si>
  <si>
    <t>Employer PF</t>
  </si>
  <si>
    <t>Currency</t>
  </si>
  <si>
    <t>INR</t>
  </si>
  <si>
    <t>Employee ESI</t>
  </si>
  <si>
    <t>Working Days</t>
  </si>
  <si>
    <t>Employer ESI</t>
  </si>
  <si>
    <t>Standard Working Hours</t>
  </si>
  <si>
    <t>Professional Tax</t>
  </si>
  <si>
    <t>Pay Date</t>
  </si>
  <si>
    <t>TDS</t>
  </si>
  <si>
    <t>Salary Rounding</t>
  </si>
  <si>
    <t>Nearest Rupee</t>
  </si>
  <si>
    <t>Method</t>
  </si>
  <si>
    <t>Selected policy</t>
  </si>
  <si>
    <t>Notes</t>
  </si>
  <si>
    <t>Owner</t>
  </si>
  <si>
    <t>Overtime</t>
  </si>
  <si>
    <t>Hourly rate × OT multiplier</t>
  </si>
  <si>
    <t>Set rates in Overtime tab</t>
  </si>
  <si>
    <t>Payroll</t>
  </si>
  <si>
    <t>LOP</t>
  </si>
  <si>
    <t>Gross / Working Days × LOP</t>
  </si>
  <si>
    <t>Formula-driven</t>
  </si>
  <si>
    <t>Leave</t>
  </si>
  <si>
    <t>Paid leave included</t>
  </si>
  <si>
    <t>Unpaid leave flows to LOP</t>
  </si>
  <si>
    <t>EMPLOYEE MASTER</t>
  </si>
  <si>
    <t>Employee ID</t>
  </si>
  <si>
    <t>Employee Name</t>
  </si>
  <si>
    <t>Designation</t>
  </si>
  <si>
    <t>Joining Date</t>
  </si>
  <si>
    <t>Employment Type</t>
  </si>
  <si>
    <t>Location</t>
  </si>
  <si>
    <t>Payment Ref (Masked)</t>
  </si>
  <si>
    <t>Basic Salary</t>
  </si>
  <si>
    <t>HRA</t>
  </si>
  <si>
    <t>Conveyance</t>
  </si>
  <si>
    <t>Medical</t>
  </si>
  <si>
    <t>Special Allowance</t>
  </si>
  <si>
    <t>Other Allowance</t>
  </si>
  <si>
    <t>Gross Salary</t>
  </si>
  <si>
    <t>Annual CTC</t>
  </si>
  <si>
    <t>PF Applicable</t>
  </si>
  <si>
    <t>ESI Applicable</t>
  </si>
  <si>
    <t>Tax Applicable</t>
  </si>
  <si>
    <t>Status</t>
  </si>
  <si>
    <t>NST-001</t>
  </si>
  <si>
    <t>Aarav Mehta</t>
  </si>
  <si>
    <t>Sales Manager</t>
  </si>
  <si>
    <t>Full-time</t>
  </si>
  <si>
    <t>Mumbai</t>
  </si>
  <si>
    <t>•••• 4821</t>
  </si>
  <si>
    <t>Active</t>
  </si>
  <si>
    <t>NST-002</t>
  </si>
  <si>
    <t>Diya Sharma</t>
  </si>
  <si>
    <t>Operations Lead</t>
  </si>
  <si>
    <t>Pune</t>
  </si>
  <si>
    <t>•••• 7516</t>
  </si>
  <si>
    <t>NST-003</t>
  </si>
  <si>
    <t>Kabir Singh</t>
  </si>
  <si>
    <t>Software Engineer</t>
  </si>
  <si>
    <t>Bengaluru</t>
  </si>
  <si>
    <t>•••• 1984</t>
  </si>
  <si>
    <t>NST-004</t>
  </si>
  <si>
    <t>Meera Iyer</t>
  </si>
  <si>
    <t>Finance Analyst</t>
  </si>
  <si>
    <t>Chennai</t>
  </si>
  <si>
    <t>•••• 6290</t>
  </si>
  <si>
    <t>No</t>
  </si>
  <si>
    <t>NST-005</t>
  </si>
  <si>
    <t>Rohan Kapoor</t>
  </si>
  <si>
    <t>HR Executive</t>
  </si>
  <si>
    <t>Delhi</t>
  </si>
  <si>
    <t>•••• 3075</t>
  </si>
  <si>
    <t>SALARY STRUCTURE</t>
  </si>
  <si>
    <t>Employee</t>
  </si>
  <si>
    <t>Basic</t>
  </si>
  <si>
    <t>Gross Monthly</t>
  </si>
  <si>
    <t>ATTENDANCE &amp; LEAVE</t>
  </si>
  <si>
    <t>Present</t>
  </si>
  <si>
    <t>Paid Leave</t>
  </si>
  <si>
    <t>Unpaid Leave</t>
  </si>
  <si>
    <t>Absent</t>
  </si>
  <si>
    <t>LOP Days</t>
  </si>
  <si>
    <t>Half Days</t>
  </si>
  <si>
    <t>Holidays</t>
  </si>
  <si>
    <t>Late Days</t>
  </si>
  <si>
    <t>OT Hours</t>
  </si>
  <si>
    <t>OVERTIME CALCULATOR</t>
  </si>
  <si>
    <t>Hourly Rate</t>
  </si>
  <si>
    <t>OT Multiplier</t>
  </si>
  <si>
    <t>OT Amount</t>
  </si>
  <si>
    <t>PAYROLL CALCULATOR</t>
  </si>
  <si>
    <t>Allowances</t>
  </si>
  <si>
    <t>Bonus</t>
  </si>
  <si>
    <t>OT</t>
  </si>
  <si>
    <t>Gross Earnings</t>
  </si>
  <si>
    <t>PF</t>
  </si>
  <si>
    <t>ESI</t>
  </si>
  <si>
    <t>PT</t>
  </si>
  <si>
    <t>Loan / Advance</t>
  </si>
  <si>
    <t>LOP Deduction</t>
  </si>
  <si>
    <t>Other Deduction</t>
  </si>
  <si>
    <t>NET SALARY</t>
  </si>
  <si>
    <t>STATUTORY / TAX RULES</t>
  </si>
  <si>
    <t>Basis</t>
  </si>
  <si>
    <t>Configurable company rule</t>
  </si>
  <si>
    <t>Gross</t>
  </si>
  <si>
    <t>Eligibility/company rule</t>
  </si>
  <si>
    <t>Fixed monthly</t>
  </si>
  <si>
    <t>State/company rule</t>
  </si>
  <si>
    <t>Tax regime/company rule</t>
  </si>
  <si>
    <t>MONTHLY PAYROLL REGISTER</t>
  </si>
  <si>
    <t>Deductions</t>
  </si>
  <si>
    <t>Net Salary</t>
  </si>
  <si>
    <t>SALARY SLIP GENERATOR</t>
  </si>
  <si>
    <t>Select Employee ID</t>
  </si>
  <si>
    <t>Pay Period</t>
  </si>
  <si>
    <t>Paid Days</t>
  </si>
  <si>
    <t>NET PAY</t>
  </si>
  <si>
    <t>Net Pay in Words</t>
  </si>
  <si>
    <t>Configured amount – verify before release</t>
  </si>
  <si>
    <t>DEPARTMENT-WISE PAYROLL</t>
  </si>
  <si>
    <t>PAYROLL VARIANCE</t>
  </si>
  <si>
    <t>Metric</t>
  </si>
  <si>
    <t>Previous Month</t>
  </si>
  <si>
    <t>Current Month</t>
  </si>
  <si>
    <t>Change</t>
  </si>
  <si>
    <t>Change %</t>
  </si>
  <si>
    <t>OT Cost</t>
  </si>
  <si>
    <t>EMPLOYEE COST ANALYSIS</t>
  </si>
  <si>
    <t>Total Employer Cost</t>
  </si>
  <si>
    <t>LOAN / ADVANCE TRACKER</t>
  </si>
  <si>
    <t>Opening Balance</t>
  </si>
  <si>
    <t>Monthly Deduction</t>
  </si>
  <si>
    <t>Closing Balance</t>
  </si>
  <si>
    <t>BONUS &amp; INCENTIVE TRACKER</t>
  </si>
  <si>
    <t>Bonus Type</t>
  </si>
  <si>
    <t>Target / Achievement</t>
  </si>
  <si>
    <t>Bonus Amount</t>
  </si>
  <si>
    <t>Approval</t>
  </si>
  <si>
    <t>Sales incentive</t>
  </si>
  <si>
    <t>105%</t>
  </si>
  <si>
    <t>Approved</t>
  </si>
  <si>
    <t>Performance bonus</t>
  </si>
  <si>
    <t>100%</t>
  </si>
  <si>
    <t>Spot award</t>
  </si>
  <si>
    <t>N/A</t>
  </si>
  <si>
    <t>Pending</t>
  </si>
  <si>
    <t>RESIGNATION / FULL &amp; FINAL</t>
  </si>
  <si>
    <t>Last Working Date</t>
  </si>
  <si>
    <t>Salary Due</t>
  </si>
  <si>
    <t>Leave Encashment</t>
  </si>
  <si>
    <t>Bonus Due</t>
  </si>
  <si>
    <t>Notice Pay</t>
  </si>
  <si>
    <t>Loan Recovery</t>
  </si>
  <si>
    <t>Final Payable</t>
  </si>
  <si>
    <t>RECONCILIATION CHECKS</t>
  </si>
  <si>
    <t>Check</t>
  </si>
  <si>
    <t>Actual</t>
  </si>
  <si>
    <t>Expected</t>
  </si>
  <si>
    <t>Difference</t>
  </si>
  <si>
    <t>Employee Master Count</t>
  </si>
  <si>
    <t>Active employees must match payroll rows</t>
  </si>
  <si>
    <t>Gross Salary = Components</t>
  </si>
  <si>
    <t>Payroll gross ties to earnings components</t>
  </si>
  <si>
    <t>Net Salary = Gross - Deductions</t>
  </si>
  <si>
    <t>Net must reconcile</t>
  </si>
  <si>
    <t>Department Total = Payroll Total</t>
  </si>
  <si>
    <t>Department roll-up ties</t>
  </si>
  <si>
    <t>Bank Payment = Net Salary</t>
  </si>
  <si>
    <t>Payment file to be confirmed</t>
  </si>
  <si>
    <t>MODEL NOTES &amp; USE GUIDE</t>
  </si>
  <si>
    <t>How to use this workbook
1. Update company settings and statutory rates in Control Settings.
2. Add or amend employees in Employee Master and salary components.
3. Enter monthly attendance, loans and bonuses.
4. Review Payroll Calculator, reconciliation checks and register.
5. Select an employee on Salary Slip before sharing.
Colors: Yellow/blue text = user input • Blue fill = calculation • Green = final output • Red should be used for exceptions.
Statutory rates are intentionally configurable. Confirm eligibility, caps, thresholds and jurisdictional rules with the appropriate payroll/tax adviser before payment.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</si>
</sst>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 mmm\ yyyy"/>
    <numFmt numFmtId="165" formatCode="#,##0;[Red]\(#,##0\);\-"/>
    <numFmt numFmtId="166" formatCode="0.0%"/>
  </numFmts>
  <fonts count="9">
    <font>
      <sz val="11"/>
      <name val="Carlito"/>
    </font>
    <font>
      <b/>
      <sz val="16"/>
      <color rgb="FFFFFFFF"/>
      <name val="Carlito"/>
    </font>
    <font>
      <b/>
      <sz val="13"/>
      <color rgb="FF007C83"/>
      <name val="Carlito"/>
    </font>
    <font>
      <b/>
      <sz val="11"/>
      <color rgb="FFFFFFFF"/>
      <name val="Carlito"/>
    </font>
    <font>
      <sz val="11"/>
      <color rgb="FF0000FF"/>
      <name val="Carlito"/>
    </font>
    <font>
      <b/>
      <sz val="11"/>
      <color rgb="FF7F6000"/>
      <name val="Carlito"/>
    </font>
    <font>
      <sz val="11"/>
      <color rgb="FF000000"/>
      <name val="Carlito"/>
    </font>
    <font>
      <b/>
      <sz val="11"/>
      <color rgb="FF000000"/>
      <name val="Carlito"/>
    </font>
    <font>
      <b/>
      <sz val="11"/>
      <color rgb="FF007C83"/>
      <name val="Carlito"/>
    </font>
  </fonts>
  <fills count="8">
    <fill>
      <patternFill patternType="none"/>
    </fill>
    <fill>
      <patternFill patternType="gray125"/>
    </fill>
    <fill>
      <patternFill patternType="solid">
        <fgColor rgb="FF12314A"/>
      </patternFill>
    </fill>
    <fill>
      <patternFill patternType="solid">
        <fgColor rgb="FFFFF2CC"/>
      </patternFill>
    </fill>
    <fill>
      <patternFill patternType="solid">
        <fgColor rgb="FF007C83"/>
      </patternFill>
    </fill>
    <fill>
      <patternFill patternType="solid">
        <fgColor rgb="FFDDEBF7"/>
      </patternFill>
    </fill>
    <fill>
      <patternFill patternType="solid">
        <fgColor rgb="FFE2F0D9"/>
      </patternFill>
    </fill>
    <fill>
      <patternFill patternType="solid">
        <fgColor rgb="FFF3F6F8"/>
      </patternFill>
    </fill>
  </fills>
  <borders count="4">
    <border>
      <left/>
      <right/>
      <top/>
      <bottom/>
      <diagonal/>
    </border>
    <border>
      <left style="thin">
        <color rgb="FFB7C7CE"/>
      </left>
      <right style="thin">
        <color rgb="FFB7C7CE"/>
      </right>
      <top style="thin">
        <color rgb="FFB7C7CE"/>
      </top>
      <bottom style="thin">
        <color rgb="FFB7C7CE"/>
      </bottom>
      <diagonal/>
    </border>
    <border>
      <left style="thin">
        <color rgb="FFD9D9D9"/>
      </left>
      <right style="thin">
        <color rgb="FFD9D9D9"/>
      </right>
      <top style="thin">
        <color rgb="FFD9D9D9"/>
      </top>
      <bottom style="thin">
        <color rgb="FFD9D9D9"/>
      </bottom>
      <diagonal/>
    </border>
    <border>
      <left style="thin">
        <color rgb="FFA9D18E"/>
      </left>
      <right style="thin">
        <color rgb="FFA9D18E"/>
      </right>
      <top style="thin">
        <color rgb="FFA9D18E"/>
      </top>
      <bottom style="thin">
        <color rgb="FFA9D18E"/>
      </bottom>
      <diagonal/>
    </border>
  </borders>
  <cellStyleXfs count="1">
    <xf numFmtId="0" fontId="0" fillId="0" borderId="0"/>
  </cellStyleXfs>
  <cellXfs count="21">
    <xf numFmtId="0" fontId="0" fillId="0" borderId="0" xfId="0"/>
    <xf numFmtId="0" fontId="3" fillId="2" borderId="1" xfId="0" applyFont="1" applyFill="1" applyBorder="1" applyAlignment="1">
      <alignment horizontal="center" vertical="center" wrapText="1"/>
    </xf>
    <xf numFmtId="0" fontId="0" fillId="0" borderId="0" xfId="0" applyAlignment="1">
      <alignment vertical="center"/>
    </xf>
    <xf numFmtId="0" fontId="4" fillId="3" borderId="2" xfId="0" applyFont="1" applyFill="1" applyBorder="1" applyAlignment="1">
      <alignment vertical="center"/>
    </xf>
    <xf numFmtId="164" fontId="4" fillId="3" borderId="2" xfId="0" applyNumberFormat="1" applyFont="1" applyFill="1" applyBorder="1" applyAlignment="1">
      <alignment vertical="center"/>
    </xf>
    <xf numFmtId="0" fontId="7" fillId="6" borderId="3" xfId="0" applyFont="1" applyFill="1" applyBorder="1" applyAlignment="1">
      <alignment vertical="center"/>
    </xf>
    <xf numFmtId="165" fontId="7" fillId="6" borderId="3" xfId="0" applyNumberFormat="1" applyFont="1" applyFill="1" applyBorder="1" applyAlignment="1">
      <alignment vertical="center"/>
    </xf>
    <xf numFmtId="0" fontId="6" fillId="5" borderId="2" xfId="0" applyFont="1" applyFill="1" applyBorder="1" applyAlignment="1">
      <alignment vertical="center"/>
    </xf>
    <xf numFmtId="165" fontId="6" fillId="5" borderId="2" xfId="0" applyNumberFormat="1" applyFont="1" applyFill="1" applyBorder="1" applyAlignment="1">
      <alignment vertical="center"/>
    </xf>
    <xf numFmtId="10" fontId="4" fillId="3" borderId="2" xfId="0" applyNumberFormat="1" applyFont="1" applyFill="1" applyBorder="1" applyAlignment="1">
      <alignment vertical="center"/>
    </xf>
    <xf numFmtId="165" fontId="4" fillId="3" borderId="2" xfId="0" applyNumberFormat="1" applyFont="1" applyFill="1" applyBorder="1" applyAlignment="1">
      <alignment vertical="center"/>
    </xf>
    <xf numFmtId="165" fontId="0" fillId="0" borderId="0" xfId="0" applyNumberFormat="1" applyAlignment="1">
      <alignment vertical="center"/>
    </xf>
    <xf numFmtId="166" fontId="6" fillId="5" borderId="2" xfId="0" applyNumberFormat="1" applyFont="1" applyFill="1" applyBorder="1" applyAlignment="1">
      <alignment vertical="center"/>
    </xf>
    <xf numFmtId="0" fontId="1" fillId="2" borderId="0" xfId="0" applyFont="1" applyFill="1" applyAlignment="1">
      <alignment horizontal="left" vertical="center"/>
    </xf>
    <xf numFmtId="0" fontId="0" fillId="0" borderId="0" xfId="0" applyAlignment="1">
      <alignment vertical="center"/>
    </xf>
    <xf numFmtId="0" fontId="0" fillId="0" borderId="0" xfId="0"/>
    <xf numFmtId="0" fontId="2" fillId="0" borderId="0" xfId="0" applyFont="1" applyAlignment="1">
      <alignment horizontal="center" vertical="center"/>
    </xf>
    <xf numFmtId="0" fontId="5" fillId="3" borderId="0" xfId="0" applyFont="1" applyFill="1" applyAlignment="1">
      <alignment horizontal="center" vertical="center" wrapText="1"/>
    </xf>
    <xf numFmtId="0" fontId="8" fillId="0" borderId="0" xfId="0" applyFont="1" applyAlignment="1">
      <alignment horizontal="center" vertical="center"/>
    </xf>
    <xf numFmtId="0" fontId="3" fillId="4" borderId="0" xfId="0" applyFont="1" applyFill="1" applyAlignment="1">
      <alignment vertical="center"/>
    </xf>
    <xf numFmtId="0" fontId="0" fillId="7" borderId="0" xfId="0"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
  <sheetViews>
    <sheetView showGridLines="0" tabSelected="1" workbookViewId="0">
      <selection sqref="A1:H1"/>
    </sheetView>
  </sheetViews>
  <sheetFormatPr defaultRowHeight="14.25"/>
  <cols>
    <col min="1" max="1" width="4" customWidth="1"/>
    <col min="2" max="2" width="22" customWidth="1"/>
    <col min="3" max="3" width="30" customWidth="1"/>
    <col min="4" max="8" width="14" customWidth="1"/>
  </cols>
  <sheetData>
    <row r="1" spans="1:8" ht="30" customHeight="1">
      <c r="A1" s="13" t="s">
        <v>0</v>
      </c>
      <c r="B1" s="14"/>
      <c r="C1" s="14"/>
      <c r="D1" s="15"/>
      <c r="E1" s="15"/>
      <c r="F1" s="15"/>
      <c r="G1" s="15"/>
      <c r="H1" s="15"/>
    </row>
    <row r="2" spans="1:8">
      <c r="A2" s="2"/>
      <c r="B2" s="2"/>
      <c r="C2" s="2"/>
    </row>
    <row r="3" spans="1:8" ht="16.5">
      <c r="A3" s="16" t="s">
        <v>1</v>
      </c>
      <c r="B3" s="14"/>
      <c r="C3" s="14"/>
      <c r="D3" s="15"/>
      <c r="E3" s="15"/>
      <c r="F3" s="15"/>
      <c r="G3" s="15"/>
      <c r="H3" s="15"/>
    </row>
    <row r="4" spans="1:8">
      <c r="A4" s="2"/>
      <c r="B4" s="2"/>
      <c r="C4" s="2"/>
    </row>
    <row r="5" spans="1:8">
      <c r="A5" s="2"/>
      <c r="B5" s="2"/>
      <c r="C5" s="2"/>
    </row>
    <row r="6" spans="1:8" ht="15">
      <c r="A6" s="2"/>
      <c r="B6" s="1" t="s">
        <v>2</v>
      </c>
      <c r="C6" s="3" t="s">
        <v>3</v>
      </c>
    </row>
    <row r="7" spans="1:8" ht="15">
      <c r="A7" s="2"/>
      <c r="B7" s="1" t="s">
        <v>4</v>
      </c>
      <c r="C7" s="3" t="s">
        <v>5</v>
      </c>
    </row>
    <row r="8" spans="1:8" ht="15">
      <c r="A8" s="2"/>
      <c r="B8" s="1" t="s">
        <v>6</v>
      </c>
      <c r="C8" s="3" t="s">
        <v>7</v>
      </c>
    </row>
    <row r="9" spans="1:8" ht="15">
      <c r="A9" s="2"/>
      <c r="B9" s="1" t="s">
        <v>8</v>
      </c>
      <c r="C9" s="3" t="s">
        <v>9</v>
      </c>
    </row>
    <row r="10" spans="1:8" ht="15">
      <c r="A10" s="2"/>
      <c r="B10" s="1" t="s">
        <v>10</v>
      </c>
      <c r="C10" s="3" t="s">
        <v>11</v>
      </c>
    </row>
    <row r="11" spans="1:8" ht="15">
      <c r="A11" s="2"/>
      <c r="B11" s="1" t="s">
        <v>12</v>
      </c>
      <c r="C11" s="4">
        <v>46245</v>
      </c>
    </row>
    <row r="12" spans="1:8">
      <c r="A12" s="2"/>
      <c r="B12" s="2"/>
      <c r="C12" s="2"/>
    </row>
    <row r="13" spans="1:8">
      <c r="A13" s="2"/>
      <c r="B13" s="2"/>
      <c r="C13" s="2"/>
    </row>
    <row r="14" spans="1:8">
      <c r="A14" s="2"/>
      <c r="B14" s="17" t="s">
        <v>13</v>
      </c>
      <c r="C14" s="14"/>
      <c r="D14" s="15"/>
      <c r="E14" s="15"/>
      <c r="F14" s="15"/>
      <c r="G14" s="15"/>
    </row>
    <row r="15" spans="1:8">
      <c r="B15" s="15"/>
      <c r="C15" s="15"/>
      <c r="D15" s="15"/>
      <c r="E15" s="15"/>
      <c r="F15" s="15"/>
      <c r="G15" s="15"/>
    </row>
  </sheetData>
  <mergeCells count="3">
    <mergeCell ref="A1:H1"/>
    <mergeCell ref="A3:H3"/>
    <mergeCell ref="B14:G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7"/>
  <sheetViews>
    <sheetView showGridLines="0" workbookViewId="0"/>
  </sheetViews>
  <sheetFormatPr defaultRowHeight="14.25"/>
  <cols>
    <col min="1" max="8" width="18" customWidth="1"/>
  </cols>
  <sheetData>
    <row r="1" spans="1:8" ht="30" customHeight="1">
      <c r="A1" s="13" t="s">
        <v>14</v>
      </c>
      <c r="B1" s="14"/>
      <c r="C1" s="14"/>
      <c r="D1" s="14"/>
      <c r="E1" s="14"/>
      <c r="F1" s="14"/>
      <c r="G1" s="14"/>
      <c r="H1" s="14"/>
    </row>
    <row r="2" spans="1:8">
      <c r="A2" s="2"/>
      <c r="B2" s="2"/>
      <c r="C2" s="2"/>
      <c r="D2" s="2"/>
      <c r="E2" s="2"/>
      <c r="F2" s="2"/>
      <c r="G2" s="2"/>
      <c r="H2" s="2"/>
    </row>
    <row r="3" spans="1:8" ht="15">
      <c r="A3" s="18" t="s">
        <v>15</v>
      </c>
      <c r="B3" s="14"/>
      <c r="C3" s="14"/>
      <c r="D3" s="14"/>
      <c r="E3" s="14"/>
      <c r="F3" s="14"/>
      <c r="G3" s="14"/>
      <c r="H3" s="14"/>
    </row>
    <row r="4" spans="1:8">
      <c r="A4" s="2"/>
      <c r="B4" s="2"/>
      <c r="C4" s="2"/>
      <c r="D4" s="2"/>
      <c r="E4" s="2"/>
      <c r="F4" s="2"/>
      <c r="G4" s="2"/>
      <c r="H4" s="2"/>
    </row>
    <row r="5" spans="1:8" ht="15">
      <c r="A5" s="1" t="s">
        <v>16</v>
      </c>
      <c r="B5" s="1" t="s">
        <v>17</v>
      </c>
      <c r="C5" s="1" t="s">
        <v>18</v>
      </c>
      <c r="D5" s="1" t="s">
        <v>19</v>
      </c>
      <c r="E5" s="1"/>
      <c r="F5" s="1"/>
      <c r="G5" s="1"/>
      <c r="H5" s="1"/>
    </row>
    <row r="6" spans="1:8" ht="15">
      <c r="A6" s="5">
        <f>COUNTIF('10_Payroll_Register'!$H$5:$H$9,"Active")</f>
        <v>5</v>
      </c>
      <c r="B6" s="6">
        <f>SUM('10_Payroll_Register'!$D$5:$D$9)</f>
        <v>493730.76923076925</v>
      </c>
      <c r="C6" s="6">
        <f>SUM('10_Payroll_Register'!$E$5:$E$9)</f>
        <v>72151.201923076937</v>
      </c>
      <c r="D6" s="6">
        <f>SUM('10_Payroll_Register'!$F$5:$F$9)</f>
        <v>421579.56730769225</v>
      </c>
      <c r="E6" s="2"/>
      <c r="F6" s="2"/>
      <c r="G6" s="2"/>
      <c r="H6" s="2"/>
    </row>
    <row r="7" spans="1:8" ht="15">
      <c r="A7" s="1" t="s">
        <v>20</v>
      </c>
      <c r="B7" s="1" t="s">
        <v>21</v>
      </c>
      <c r="C7" s="1" t="s">
        <v>22</v>
      </c>
      <c r="D7" s="1" t="s">
        <v>23</v>
      </c>
      <c r="E7" s="1"/>
      <c r="F7" s="1"/>
      <c r="G7" s="1"/>
      <c r="H7" s="1"/>
    </row>
    <row r="8" spans="1:8" ht="15">
      <c r="A8" s="6">
        <f>SUM('10_Payroll_Register'!$G$5:$G$9)</f>
        <v>533277.64423076925</v>
      </c>
      <c r="B8" s="6">
        <f>AVERAGE('10_Payroll_Register'!$F$5:$F$9)</f>
        <v>84315.913461538454</v>
      </c>
      <c r="C8" s="6">
        <f>SUM('07_Overtime'!$F$5:$F$9)</f>
        <v>15230.76923076923</v>
      </c>
      <c r="D8" s="5">
        <f>SUM('06_Attendance_Leave'!$H$5:$H$9)</f>
        <v>3</v>
      </c>
      <c r="E8" s="2"/>
      <c r="F8" s="2"/>
      <c r="G8" s="2"/>
      <c r="H8" s="2"/>
    </row>
    <row r="9" spans="1:8">
      <c r="A9" s="2"/>
      <c r="B9" s="2"/>
      <c r="C9" s="2"/>
      <c r="D9" s="2"/>
      <c r="E9" s="2"/>
      <c r="F9" s="2"/>
      <c r="G9" s="2"/>
      <c r="H9" s="2"/>
    </row>
    <row r="10" spans="1:8">
      <c r="A10" s="2"/>
      <c r="B10" s="2"/>
      <c r="C10" s="2"/>
      <c r="D10" s="2"/>
      <c r="E10" s="2"/>
      <c r="F10" s="2"/>
      <c r="G10" s="2"/>
      <c r="H10" s="2"/>
    </row>
    <row r="11" spans="1:8" ht="21.95" customHeight="1">
      <c r="A11" s="19" t="s">
        <v>24</v>
      </c>
      <c r="B11" s="14"/>
      <c r="C11" s="14"/>
      <c r="D11" s="14"/>
      <c r="E11" s="14"/>
      <c r="F11" s="2"/>
      <c r="G11" s="2"/>
      <c r="H11" s="2"/>
    </row>
    <row r="12" spans="1:8" ht="15">
      <c r="A12" s="1" t="s">
        <v>25</v>
      </c>
      <c r="B12" s="1" t="s">
        <v>26</v>
      </c>
      <c r="C12" s="1" t="s">
        <v>17</v>
      </c>
      <c r="D12" s="1" t="s">
        <v>19</v>
      </c>
      <c r="E12" s="1" t="s">
        <v>20</v>
      </c>
      <c r="F12" s="2"/>
      <c r="G12" s="2"/>
      <c r="H12" s="2"/>
    </row>
    <row r="13" spans="1:8">
      <c r="A13" s="7" t="s">
        <v>27</v>
      </c>
      <c r="B13" s="7">
        <f>COUNTIF('10_Payroll_Register'!$C$5:$C$9,A13)</f>
        <v>1</v>
      </c>
      <c r="C13" s="8">
        <f>SUMIF('10_Payroll_Register'!$C$5:$C$9,A13,'10_Payroll_Register'!$D$5:$D$9)</f>
        <v>130192.30769230769</v>
      </c>
      <c r="D13" s="8">
        <f>SUMIF('10_Payroll_Register'!$C$5:$C$9,A13,'10_Payroll_Register'!$F$5:$F$9)</f>
        <v>115306.25</v>
      </c>
      <c r="E13" s="8">
        <f>SUMIF('10_Payroll_Register'!$C$5:$C$9,A13,'10_Payroll_Register'!$G$5:$G$9)</f>
        <v>141623.55769230769</v>
      </c>
      <c r="F13" s="2"/>
      <c r="G13" s="2"/>
      <c r="H13" s="2"/>
    </row>
    <row r="14" spans="1:8">
      <c r="A14" s="7" t="s">
        <v>28</v>
      </c>
      <c r="B14" s="7">
        <f>COUNTIF('10_Payroll_Register'!$C$5:$C$9,A14)</f>
        <v>1</v>
      </c>
      <c r="C14" s="8">
        <f>SUMIF('10_Payroll_Register'!$C$5:$C$9,A14,'10_Payroll_Register'!$D$5:$D$9)</f>
        <v>107206.73076923077</v>
      </c>
      <c r="D14" s="8">
        <f>SUMIF('10_Payroll_Register'!$C$5:$C$9,A14,'10_Payroll_Register'!$F$5:$F$9)</f>
        <v>91602.34375</v>
      </c>
      <c r="E14" s="8">
        <f>SUMIF('10_Payroll_Register'!$C$5:$C$9,A14,'10_Payroll_Register'!$G$5:$G$9)</f>
        <v>116930.94951923077</v>
      </c>
      <c r="F14" s="2"/>
      <c r="G14" s="2"/>
      <c r="H14" s="2"/>
    </row>
    <row r="15" spans="1:8">
      <c r="A15" s="7" t="s">
        <v>29</v>
      </c>
      <c r="B15" s="7">
        <f>COUNTIF('10_Payroll_Register'!$C$5:$C$9,A15)</f>
        <v>1</v>
      </c>
      <c r="C15" s="8">
        <f>SUMIF('10_Payroll_Register'!$C$5:$C$9,A15,'10_Payroll_Register'!$D$5:$D$9)</f>
        <v>104350.96153846153</v>
      </c>
      <c r="D15" s="8">
        <f>SUMIF('10_Payroll_Register'!$C$5:$C$9,A15,'10_Payroll_Register'!$F$5:$F$9)</f>
        <v>85083.088942307688</v>
      </c>
      <c r="E15" s="8">
        <f>SUMIF('10_Payroll_Register'!$C$5:$C$9,A15,'10_Payroll_Register'!$G$5:$G$9)</f>
        <v>113502.36778846153</v>
      </c>
      <c r="F15" s="2"/>
      <c r="G15" s="2"/>
      <c r="H15" s="2"/>
    </row>
    <row r="16" spans="1:8">
      <c r="A16" s="7" t="s">
        <v>30</v>
      </c>
      <c r="B16" s="7">
        <f>COUNTIF('10_Payroll_Register'!$C$5:$C$9,A16)</f>
        <v>1</v>
      </c>
      <c r="C16" s="8">
        <f>SUMIF('10_Payroll_Register'!$C$5:$C$9,A16,'10_Payroll_Register'!$D$5:$D$9)</f>
        <v>82000</v>
      </c>
      <c r="D16" s="8">
        <f>SUMIF('10_Payroll_Register'!$C$5:$C$9,A16,'10_Payroll_Register'!$F$5:$F$9)</f>
        <v>67506.153846153844</v>
      </c>
      <c r="E16" s="8">
        <f>SUMIF('10_Payroll_Register'!$C$5:$C$9,A16,'10_Payroll_Register'!$G$5:$G$9)</f>
        <v>87040</v>
      </c>
      <c r="F16" s="2"/>
      <c r="G16" s="2"/>
      <c r="H16" s="2"/>
    </row>
    <row r="17" spans="1:8">
      <c r="A17" s="7" t="s">
        <v>31</v>
      </c>
      <c r="B17" s="7">
        <f>COUNTIF('10_Payroll_Register'!$C$5:$C$9,A17)</f>
        <v>1</v>
      </c>
      <c r="C17" s="8">
        <f>SUMIF('10_Payroll_Register'!$C$5:$C$9,A17,'10_Payroll_Register'!$D$5:$D$9)</f>
        <v>69980.769230769234</v>
      </c>
      <c r="D17" s="8">
        <f>SUMIF('10_Payroll_Register'!$C$5:$C$9,A17,'10_Payroll_Register'!$F$5:$F$9)</f>
        <v>62081.730769230773</v>
      </c>
      <c r="E17" s="8">
        <f>SUMIF('10_Payroll_Register'!$C$5:$C$9,A17,'10_Payroll_Register'!$G$5:$G$9)</f>
        <v>74180.769230769234</v>
      </c>
      <c r="F17" s="2"/>
      <c r="G17" s="2"/>
      <c r="H17" s="2"/>
    </row>
  </sheetData>
  <mergeCells count="3">
    <mergeCell ref="A1:H1"/>
    <mergeCell ref="A3:H3"/>
    <mergeCell ref="A11:E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7"/>
  <sheetViews>
    <sheetView showGridLines="0" workbookViewId="0"/>
  </sheetViews>
  <sheetFormatPr defaultRowHeight="14.25"/>
  <cols>
    <col min="1" max="1" width="22" customWidth="1"/>
    <col min="2" max="2" width="28" customWidth="1"/>
    <col min="3" max="3" width="30" customWidth="1"/>
    <col min="4" max="4" width="14" customWidth="1"/>
    <col min="5" max="5" width="18" customWidth="1"/>
    <col min="6" max="6" width="14" customWidth="1"/>
    <col min="7" max="8" width="16" customWidth="1"/>
  </cols>
  <sheetData>
    <row r="1" spans="1:8" ht="30" customHeight="1">
      <c r="A1" s="13" t="s">
        <v>32</v>
      </c>
      <c r="B1" s="14"/>
      <c r="C1" s="14"/>
      <c r="D1" s="14"/>
      <c r="E1" s="14"/>
      <c r="F1" s="14"/>
      <c r="G1" s="14"/>
      <c r="H1" s="2"/>
    </row>
    <row r="2" spans="1:8">
      <c r="A2" s="2"/>
      <c r="B2" s="2"/>
      <c r="C2" s="2"/>
      <c r="D2" s="2"/>
      <c r="E2" s="2"/>
      <c r="F2" s="2"/>
      <c r="G2" s="2"/>
      <c r="H2" s="2"/>
    </row>
    <row r="3" spans="1:8" ht="21.95" customHeight="1">
      <c r="A3" s="19" t="s">
        <v>33</v>
      </c>
      <c r="B3" s="14"/>
      <c r="C3" s="14"/>
      <c r="D3" s="14"/>
      <c r="E3" s="2"/>
      <c r="F3" s="2"/>
      <c r="G3" s="2"/>
      <c r="H3" s="2"/>
    </row>
    <row r="4" spans="1:8" ht="15">
      <c r="A4" s="1" t="s">
        <v>2</v>
      </c>
      <c r="B4" s="3" t="s">
        <v>3</v>
      </c>
      <c r="C4" s="2"/>
      <c r="D4" s="2"/>
      <c r="E4" s="1" t="s">
        <v>34</v>
      </c>
      <c r="F4" s="1" t="s">
        <v>35</v>
      </c>
      <c r="G4" s="1" t="s">
        <v>36</v>
      </c>
      <c r="H4" s="1" t="s">
        <v>37</v>
      </c>
    </row>
    <row r="5" spans="1:8" ht="15">
      <c r="A5" s="1" t="s">
        <v>4</v>
      </c>
      <c r="B5" s="3" t="s">
        <v>5</v>
      </c>
      <c r="C5" s="2"/>
      <c r="D5" s="2"/>
      <c r="E5" s="3" t="s">
        <v>38</v>
      </c>
      <c r="F5" s="3" t="s">
        <v>39</v>
      </c>
      <c r="G5" s="9">
        <v>0.12</v>
      </c>
      <c r="H5" s="4">
        <v>46113</v>
      </c>
    </row>
    <row r="6" spans="1:8" ht="15">
      <c r="A6" s="1" t="s">
        <v>6</v>
      </c>
      <c r="B6" s="3" t="s">
        <v>7</v>
      </c>
      <c r="C6" s="2"/>
      <c r="D6" s="2"/>
      <c r="E6" s="3" t="s">
        <v>40</v>
      </c>
      <c r="F6" s="3" t="s">
        <v>39</v>
      </c>
      <c r="G6" s="9">
        <v>0.12</v>
      </c>
      <c r="H6" s="4">
        <v>46113</v>
      </c>
    </row>
    <row r="7" spans="1:8" ht="15">
      <c r="A7" s="1" t="s">
        <v>41</v>
      </c>
      <c r="B7" s="3" t="s">
        <v>42</v>
      </c>
      <c r="C7" s="2"/>
      <c r="D7" s="2"/>
      <c r="E7" s="3" t="s">
        <v>43</v>
      </c>
      <c r="F7" s="3" t="s">
        <v>39</v>
      </c>
      <c r="G7" s="9">
        <v>7.4999999999999997E-3</v>
      </c>
      <c r="H7" s="4">
        <v>46113</v>
      </c>
    </row>
    <row r="8" spans="1:8" ht="15">
      <c r="A8" s="1" t="s">
        <v>44</v>
      </c>
      <c r="B8" s="3">
        <v>26</v>
      </c>
      <c r="C8" s="2"/>
      <c r="D8" s="2"/>
      <c r="E8" s="3" t="s">
        <v>45</v>
      </c>
      <c r="F8" s="3" t="s">
        <v>39</v>
      </c>
      <c r="G8" s="9">
        <v>3.2500000000000001E-2</v>
      </c>
      <c r="H8" s="4">
        <v>46113</v>
      </c>
    </row>
    <row r="9" spans="1:8" ht="30">
      <c r="A9" s="1" t="s">
        <v>46</v>
      </c>
      <c r="B9" s="3">
        <v>8</v>
      </c>
      <c r="C9" s="2"/>
      <c r="D9" s="2"/>
      <c r="E9" s="3" t="s">
        <v>47</v>
      </c>
      <c r="F9" s="3" t="s">
        <v>39</v>
      </c>
      <c r="G9" s="9">
        <v>200</v>
      </c>
      <c r="H9" s="4">
        <v>46113</v>
      </c>
    </row>
    <row r="10" spans="1:8" ht="15">
      <c r="A10" s="1" t="s">
        <v>48</v>
      </c>
      <c r="B10" s="4">
        <v>46265</v>
      </c>
      <c r="C10" s="2"/>
      <c r="D10" s="2"/>
      <c r="E10" s="3" t="s">
        <v>49</v>
      </c>
      <c r="F10" s="3" t="s">
        <v>39</v>
      </c>
      <c r="G10" s="10">
        <v>0.05</v>
      </c>
      <c r="H10" s="4">
        <v>46113</v>
      </c>
    </row>
    <row r="11" spans="1:8" ht="15">
      <c r="A11" s="1" t="s">
        <v>50</v>
      </c>
      <c r="B11" s="3" t="s">
        <v>51</v>
      </c>
      <c r="C11" s="2"/>
      <c r="D11" s="2"/>
      <c r="E11" s="2"/>
      <c r="F11" s="2"/>
      <c r="G11" s="2"/>
      <c r="H11" s="2"/>
    </row>
    <row r="12" spans="1:8">
      <c r="A12" s="2"/>
      <c r="B12" s="2"/>
      <c r="C12" s="2"/>
      <c r="D12" s="2"/>
      <c r="E12" s="2"/>
      <c r="F12" s="2"/>
      <c r="G12" s="2"/>
      <c r="H12" s="2"/>
    </row>
    <row r="13" spans="1:8">
      <c r="A13" s="2"/>
      <c r="B13" s="2"/>
      <c r="C13" s="2"/>
      <c r="D13" s="2"/>
      <c r="E13" s="2"/>
      <c r="F13" s="2"/>
      <c r="G13" s="2"/>
      <c r="H13" s="2"/>
    </row>
    <row r="14" spans="1:8" ht="15">
      <c r="A14" s="1" t="s">
        <v>52</v>
      </c>
      <c r="B14" s="1" t="s">
        <v>53</v>
      </c>
      <c r="C14" s="1" t="s">
        <v>54</v>
      </c>
      <c r="D14" s="1" t="s">
        <v>55</v>
      </c>
      <c r="E14" s="2"/>
      <c r="F14" s="2"/>
      <c r="G14" s="2"/>
      <c r="H14" s="2"/>
    </row>
    <row r="15" spans="1:8">
      <c r="A15" s="3" t="s">
        <v>56</v>
      </c>
      <c r="B15" s="3" t="s">
        <v>57</v>
      </c>
      <c r="C15" s="3" t="s">
        <v>58</v>
      </c>
      <c r="D15" s="3" t="s">
        <v>59</v>
      </c>
      <c r="E15" s="2"/>
      <c r="F15" s="2"/>
      <c r="G15" s="2"/>
      <c r="H15" s="2"/>
    </row>
    <row r="16" spans="1:8">
      <c r="A16" s="3" t="s">
        <v>60</v>
      </c>
      <c r="B16" s="3" t="s">
        <v>61</v>
      </c>
      <c r="C16" s="3" t="s">
        <v>62</v>
      </c>
      <c r="D16" s="3" t="s">
        <v>59</v>
      </c>
      <c r="E16" s="2"/>
      <c r="F16" s="2"/>
      <c r="G16" s="2"/>
      <c r="H16" s="2"/>
    </row>
    <row r="17" spans="1:8">
      <c r="A17" s="3" t="s">
        <v>63</v>
      </c>
      <c r="B17" s="3" t="s">
        <v>64</v>
      </c>
      <c r="C17" s="3" t="s">
        <v>65</v>
      </c>
      <c r="D17" s="3" t="s">
        <v>31</v>
      </c>
      <c r="E17" s="2"/>
      <c r="F17" s="2"/>
      <c r="G17" s="2"/>
      <c r="H17" s="2"/>
    </row>
  </sheetData>
  <mergeCells count="2">
    <mergeCell ref="A1:G1"/>
    <mergeCell ref="A3:D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9"/>
  <sheetViews>
    <sheetView showGridLines="0" workbookViewId="0"/>
  </sheetViews>
  <sheetFormatPr defaultRowHeight="14.25"/>
  <cols>
    <col min="1" max="1" width="13" customWidth="1"/>
    <col min="2" max="2" width="20" customWidth="1"/>
    <col min="3" max="3" width="16" customWidth="1"/>
    <col min="4" max="4" width="20" customWidth="1"/>
    <col min="5" max="7" width="14" customWidth="1"/>
    <col min="8" max="8" width="18" customWidth="1"/>
    <col min="9" max="16" width="15" customWidth="1"/>
    <col min="17" max="20" width="13" customWidth="1"/>
  </cols>
  <sheetData>
    <row r="1" spans="1:20" ht="30" customHeight="1">
      <c r="A1" s="13" t="s">
        <v>66</v>
      </c>
      <c r="B1" s="14"/>
      <c r="C1" s="14"/>
      <c r="D1" s="14"/>
      <c r="E1" s="14"/>
      <c r="F1" s="14"/>
      <c r="G1" s="14"/>
      <c r="H1" s="14"/>
      <c r="I1" s="14"/>
      <c r="J1" s="14"/>
      <c r="K1" s="14"/>
      <c r="L1" s="14"/>
      <c r="M1" s="14"/>
      <c r="N1" s="14"/>
      <c r="O1" s="14"/>
      <c r="P1" s="14"/>
      <c r="Q1" s="14"/>
      <c r="R1" s="14"/>
      <c r="S1" s="2"/>
      <c r="T1" s="2"/>
    </row>
    <row r="2" spans="1:20">
      <c r="A2" s="2"/>
      <c r="B2" s="2"/>
      <c r="C2" s="2"/>
      <c r="D2" s="2"/>
      <c r="E2" s="2"/>
      <c r="F2" s="2"/>
      <c r="G2" s="2"/>
      <c r="H2" s="2"/>
      <c r="I2" s="2"/>
      <c r="J2" s="2"/>
      <c r="K2" s="2"/>
      <c r="L2" s="2"/>
      <c r="M2" s="2"/>
      <c r="N2" s="2"/>
      <c r="O2" s="2"/>
      <c r="P2" s="2"/>
      <c r="Q2" s="2"/>
      <c r="R2" s="2"/>
      <c r="S2" s="2"/>
      <c r="T2" s="2"/>
    </row>
    <row r="3" spans="1:20">
      <c r="A3" s="2"/>
      <c r="B3" s="2"/>
      <c r="C3" s="2"/>
      <c r="D3" s="2"/>
      <c r="E3" s="2"/>
      <c r="F3" s="2"/>
      <c r="G3" s="2"/>
      <c r="H3" s="2"/>
      <c r="I3" s="2"/>
      <c r="J3" s="2"/>
      <c r="K3" s="2"/>
      <c r="L3" s="2"/>
      <c r="M3" s="2"/>
      <c r="N3" s="2"/>
      <c r="O3" s="2"/>
      <c r="P3" s="2"/>
      <c r="Q3" s="2"/>
      <c r="R3" s="2"/>
      <c r="S3" s="2"/>
      <c r="T3" s="2"/>
    </row>
    <row r="4" spans="1:20" ht="30">
      <c r="A4" s="1" t="s">
        <v>67</v>
      </c>
      <c r="B4" s="1" t="s">
        <v>68</v>
      </c>
      <c r="C4" s="1" t="s">
        <v>25</v>
      </c>
      <c r="D4" s="1" t="s">
        <v>69</v>
      </c>
      <c r="E4" s="1" t="s">
        <v>70</v>
      </c>
      <c r="F4" s="1" t="s">
        <v>71</v>
      </c>
      <c r="G4" s="1" t="s">
        <v>72</v>
      </c>
      <c r="H4" s="1" t="s">
        <v>73</v>
      </c>
      <c r="I4" s="1" t="s">
        <v>74</v>
      </c>
      <c r="J4" s="1" t="s">
        <v>75</v>
      </c>
      <c r="K4" s="1" t="s">
        <v>76</v>
      </c>
      <c r="L4" s="1" t="s">
        <v>77</v>
      </c>
      <c r="M4" s="1" t="s">
        <v>78</v>
      </c>
      <c r="N4" s="1" t="s">
        <v>79</v>
      </c>
      <c r="O4" s="1" t="s">
        <v>80</v>
      </c>
      <c r="P4" s="1" t="s">
        <v>81</v>
      </c>
      <c r="Q4" s="1" t="s">
        <v>82</v>
      </c>
      <c r="R4" s="1" t="s">
        <v>83</v>
      </c>
      <c r="S4" s="1" t="s">
        <v>84</v>
      </c>
      <c r="T4" s="1" t="s">
        <v>85</v>
      </c>
    </row>
    <row r="5" spans="1:20">
      <c r="A5" s="3" t="s">
        <v>86</v>
      </c>
      <c r="B5" s="3" t="s">
        <v>87</v>
      </c>
      <c r="C5" s="3" t="s">
        <v>27</v>
      </c>
      <c r="D5" s="3" t="s">
        <v>88</v>
      </c>
      <c r="E5" s="4">
        <v>45089</v>
      </c>
      <c r="F5" s="3" t="s">
        <v>89</v>
      </c>
      <c r="G5" s="3" t="s">
        <v>90</v>
      </c>
      <c r="H5" s="3" t="s">
        <v>91</v>
      </c>
      <c r="I5" s="10">
        <v>60000</v>
      </c>
      <c r="J5" s="10">
        <v>30000</v>
      </c>
      <c r="K5" s="10">
        <v>4000</v>
      </c>
      <c r="L5" s="10">
        <v>2000</v>
      </c>
      <c r="M5" s="10">
        <v>24000</v>
      </c>
      <c r="N5" s="10">
        <v>0</v>
      </c>
      <c r="O5" s="8">
        <f>SUM(I5:N5)</f>
        <v>120000</v>
      </c>
      <c r="P5" s="8">
        <f>O5*12</f>
        <v>1440000</v>
      </c>
      <c r="Q5" s="3" t="s">
        <v>39</v>
      </c>
      <c r="R5" s="3" t="s">
        <v>39</v>
      </c>
      <c r="S5" s="3" t="s">
        <v>39</v>
      </c>
      <c r="T5" s="3" t="s">
        <v>92</v>
      </c>
    </row>
    <row r="6" spans="1:20">
      <c r="A6" s="3" t="s">
        <v>93</v>
      </c>
      <c r="B6" s="3" t="s">
        <v>94</v>
      </c>
      <c r="C6" s="3" t="s">
        <v>28</v>
      </c>
      <c r="D6" s="3" t="s">
        <v>95</v>
      </c>
      <c r="E6" s="4">
        <v>44866</v>
      </c>
      <c r="F6" s="3" t="s">
        <v>89</v>
      </c>
      <c r="G6" s="3" t="s">
        <v>96</v>
      </c>
      <c r="H6" s="3" t="s">
        <v>97</v>
      </c>
      <c r="I6" s="10">
        <v>52000</v>
      </c>
      <c r="J6" s="10">
        <v>26000</v>
      </c>
      <c r="K6" s="10">
        <v>4000</v>
      </c>
      <c r="L6" s="10">
        <v>2000</v>
      </c>
      <c r="M6" s="10">
        <v>18000</v>
      </c>
      <c r="N6" s="10">
        <v>0</v>
      </c>
      <c r="O6" s="8">
        <f>SUM(I6:N6)</f>
        <v>102000</v>
      </c>
      <c r="P6" s="8">
        <f>O6*12</f>
        <v>1224000</v>
      </c>
      <c r="Q6" s="3" t="s">
        <v>39</v>
      </c>
      <c r="R6" s="3" t="s">
        <v>39</v>
      </c>
      <c r="S6" s="3" t="s">
        <v>39</v>
      </c>
      <c r="T6" s="3" t="s">
        <v>92</v>
      </c>
    </row>
    <row r="7" spans="1:20">
      <c r="A7" s="3" t="s">
        <v>98</v>
      </c>
      <c r="B7" s="3" t="s">
        <v>99</v>
      </c>
      <c r="C7" s="3" t="s">
        <v>29</v>
      </c>
      <c r="D7" s="3" t="s">
        <v>100</v>
      </c>
      <c r="E7" s="4">
        <v>45306</v>
      </c>
      <c r="F7" s="3" t="s">
        <v>89</v>
      </c>
      <c r="G7" s="3" t="s">
        <v>101</v>
      </c>
      <c r="H7" s="3" t="s">
        <v>102</v>
      </c>
      <c r="I7" s="10">
        <v>48000</v>
      </c>
      <c r="J7" s="10">
        <v>24000</v>
      </c>
      <c r="K7" s="10">
        <v>4000</v>
      </c>
      <c r="L7" s="10">
        <v>2000</v>
      </c>
      <c r="M7" s="10">
        <v>17000</v>
      </c>
      <c r="N7" s="10">
        <v>0</v>
      </c>
      <c r="O7" s="8">
        <f>SUM(I7:N7)</f>
        <v>95000</v>
      </c>
      <c r="P7" s="8">
        <f>O7*12</f>
        <v>1140000</v>
      </c>
      <c r="Q7" s="3" t="s">
        <v>39</v>
      </c>
      <c r="R7" s="3" t="s">
        <v>39</v>
      </c>
      <c r="S7" s="3" t="s">
        <v>39</v>
      </c>
      <c r="T7" s="3" t="s">
        <v>92</v>
      </c>
    </row>
    <row r="8" spans="1:20">
      <c r="A8" s="3" t="s">
        <v>103</v>
      </c>
      <c r="B8" s="3" t="s">
        <v>104</v>
      </c>
      <c r="C8" s="3" t="s">
        <v>30</v>
      </c>
      <c r="D8" s="3" t="s">
        <v>105</v>
      </c>
      <c r="E8" s="4">
        <v>45719</v>
      </c>
      <c r="F8" s="3" t="s">
        <v>89</v>
      </c>
      <c r="G8" s="3" t="s">
        <v>106</v>
      </c>
      <c r="H8" s="3" t="s">
        <v>107</v>
      </c>
      <c r="I8" s="10">
        <v>42000</v>
      </c>
      <c r="J8" s="10">
        <v>21000</v>
      </c>
      <c r="K8" s="10">
        <v>4000</v>
      </c>
      <c r="L8" s="10">
        <v>2000</v>
      </c>
      <c r="M8" s="10">
        <v>13000</v>
      </c>
      <c r="N8" s="10">
        <v>0</v>
      </c>
      <c r="O8" s="8">
        <f>SUM(I8:N8)</f>
        <v>82000</v>
      </c>
      <c r="P8" s="8">
        <f>O8*12</f>
        <v>984000</v>
      </c>
      <c r="Q8" s="3" t="s">
        <v>39</v>
      </c>
      <c r="R8" s="3" t="s">
        <v>108</v>
      </c>
      <c r="S8" s="3" t="s">
        <v>39</v>
      </c>
      <c r="T8" s="3" t="s">
        <v>92</v>
      </c>
    </row>
    <row r="9" spans="1:20">
      <c r="A9" s="3" t="s">
        <v>109</v>
      </c>
      <c r="B9" s="3" t="s">
        <v>110</v>
      </c>
      <c r="C9" s="3" t="s">
        <v>31</v>
      </c>
      <c r="D9" s="3" t="s">
        <v>111</v>
      </c>
      <c r="E9" s="4">
        <v>45910</v>
      </c>
      <c r="F9" s="3" t="s">
        <v>89</v>
      </c>
      <c r="G9" s="3" t="s">
        <v>112</v>
      </c>
      <c r="H9" s="3" t="s">
        <v>113</v>
      </c>
      <c r="I9" s="10">
        <v>35000</v>
      </c>
      <c r="J9" s="10">
        <v>17500</v>
      </c>
      <c r="K9" s="10">
        <v>4000</v>
      </c>
      <c r="L9" s="10">
        <v>2000</v>
      </c>
      <c r="M9" s="10">
        <v>9500</v>
      </c>
      <c r="N9" s="10">
        <v>0</v>
      </c>
      <c r="O9" s="8">
        <f>SUM(I9:N9)</f>
        <v>68000</v>
      </c>
      <c r="P9" s="8">
        <f>O9*12</f>
        <v>816000</v>
      </c>
      <c r="Q9" s="3" t="s">
        <v>39</v>
      </c>
      <c r="R9" s="3" t="s">
        <v>108</v>
      </c>
      <c r="S9" s="3" t="s">
        <v>39</v>
      </c>
      <c r="T9" s="3" t="s">
        <v>92</v>
      </c>
    </row>
  </sheetData>
  <mergeCells count="1">
    <mergeCell ref="A1:R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9"/>
  <sheetViews>
    <sheetView showGridLines="0" workbookViewId="0"/>
  </sheetViews>
  <sheetFormatPr defaultRowHeight="14.25"/>
  <cols>
    <col min="1" max="1" width="14" customWidth="1"/>
    <col min="2" max="2" width="22" customWidth="1"/>
    <col min="3" max="10" width="16" customWidth="1"/>
  </cols>
  <sheetData>
    <row r="1" spans="1:10" ht="30" customHeight="1">
      <c r="A1" s="13" t="s">
        <v>114</v>
      </c>
      <c r="B1" s="14"/>
      <c r="C1" s="14"/>
      <c r="D1" s="14"/>
      <c r="E1" s="14"/>
      <c r="F1" s="14"/>
      <c r="G1" s="14"/>
      <c r="H1" s="14"/>
      <c r="I1" s="14"/>
      <c r="J1" s="14"/>
    </row>
    <row r="2" spans="1:10">
      <c r="A2" s="2"/>
      <c r="B2" s="2"/>
      <c r="C2" s="2"/>
      <c r="D2" s="2"/>
      <c r="E2" s="2"/>
      <c r="F2" s="2"/>
      <c r="G2" s="2"/>
      <c r="H2" s="2"/>
      <c r="I2" s="2"/>
      <c r="J2" s="2"/>
    </row>
    <row r="3" spans="1:10">
      <c r="A3" s="2"/>
      <c r="B3" s="2"/>
      <c r="C3" s="2"/>
      <c r="D3" s="2"/>
      <c r="E3" s="2"/>
      <c r="F3" s="2"/>
      <c r="G3" s="2"/>
      <c r="H3" s="2"/>
      <c r="I3" s="2"/>
      <c r="J3" s="2"/>
    </row>
    <row r="4" spans="1:10" ht="30">
      <c r="A4" s="1" t="s">
        <v>67</v>
      </c>
      <c r="B4" s="1" t="s">
        <v>115</v>
      </c>
      <c r="C4" s="1" t="s">
        <v>116</v>
      </c>
      <c r="D4" s="1" t="s">
        <v>75</v>
      </c>
      <c r="E4" s="1" t="s">
        <v>76</v>
      </c>
      <c r="F4" s="1" t="s">
        <v>77</v>
      </c>
      <c r="G4" s="1" t="s">
        <v>78</v>
      </c>
      <c r="H4" s="1" t="s">
        <v>79</v>
      </c>
      <c r="I4" s="1" t="s">
        <v>117</v>
      </c>
      <c r="J4" s="1" t="s">
        <v>81</v>
      </c>
    </row>
    <row r="5" spans="1:10">
      <c r="A5" s="3" t="s">
        <v>86</v>
      </c>
      <c r="B5" s="7" t="str">
        <f>VLOOKUP($A5,'04_Employee_Master'!$A$5:$T$9,2,FALSE)</f>
        <v>Aarav Mehta</v>
      </c>
      <c r="C5" s="8" t="str">
        <f>VLOOKUP($A5,'04_Employee_Master'!$A$5:$T$9,3,FALSE)</f>
        <v>Sales</v>
      </c>
      <c r="D5" s="8" t="str">
        <f>VLOOKUP($A5,'04_Employee_Master'!$A$5:$T$9,4,FALSE)</f>
        <v>Sales Manager</v>
      </c>
      <c r="E5" s="8">
        <f>VLOOKUP($A5,'04_Employee_Master'!$A$5:$T$9,5,FALSE)</f>
        <v>45089</v>
      </c>
      <c r="F5" s="8" t="str">
        <f>VLOOKUP($A5,'04_Employee_Master'!$A$5:$T$9,6,FALSE)</f>
        <v>Full-time</v>
      </c>
      <c r="G5" s="8" t="str">
        <f>VLOOKUP($A5,'04_Employee_Master'!$A$5:$T$9,7,FALSE)</f>
        <v>Mumbai</v>
      </c>
      <c r="H5" s="8" t="str">
        <f>VLOOKUP($A5,'04_Employee_Master'!$A$5:$T$9,8,FALSE)</f>
        <v>•••• 4821</v>
      </c>
      <c r="I5" s="8">
        <f>VLOOKUP($A5,'04_Employee_Master'!$A$5:$T$9,9,FALSE)</f>
        <v>60000</v>
      </c>
      <c r="J5" s="8">
        <f>VLOOKUP($A5,'04_Employee_Master'!$A$5:$T$9,10,FALSE)</f>
        <v>30000</v>
      </c>
    </row>
    <row r="6" spans="1:10">
      <c r="A6" s="3" t="s">
        <v>93</v>
      </c>
      <c r="B6" s="7" t="str">
        <f>VLOOKUP($A6,'04_Employee_Master'!$A$5:$T$9,2,FALSE)</f>
        <v>Diya Sharma</v>
      </c>
      <c r="C6" s="8" t="str">
        <f>VLOOKUP($A6,'04_Employee_Master'!$A$5:$T$9,3,FALSE)</f>
        <v>Operations</v>
      </c>
      <c r="D6" s="8" t="str">
        <f>VLOOKUP($A6,'04_Employee_Master'!$A$5:$T$9,4,FALSE)</f>
        <v>Operations Lead</v>
      </c>
      <c r="E6" s="8">
        <f>VLOOKUP($A6,'04_Employee_Master'!$A$5:$T$9,5,FALSE)</f>
        <v>44866</v>
      </c>
      <c r="F6" s="8" t="str">
        <f>VLOOKUP($A6,'04_Employee_Master'!$A$5:$T$9,6,FALSE)</f>
        <v>Full-time</v>
      </c>
      <c r="G6" s="8" t="str">
        <f>VLOOKUP($A6,'04_Employee_Master'!$A$5:$T$9,7,FALSE)</f>
        <v>Pune</v>
      </c>
      <c r="H6" s="8" t="str">
        <f>VLOOKUP($A6,'04_Employee_Master'!$A$5:$T$9,8,FALSE)</f>
        <v>•••• 7516</v>
      </c>
      <c r="I6" s="8">
        <f>VLOOKUP($A6,'04_Employee_Master'!$A$5:$T$9,9,FALSE)</f>
        <v>52000</v>
      </c>
      <c r="J6" s="8">
        <f>VLOOKUP($A6,'04_Employee_Master'!$A$5:$T$9,10,FALSE)</f>
        <v>26000</v>
      </c>
    </row>
    <row r="7" spans="1:10">
      <c r="A7" s="3" t="s">
        <v>98</v>
      </c>
      <c r="B7" s="7" t="str">
        <f>VLOOKUP($A7,'04_Employee_Master'!$A$5:$T$9,2,FALSE)</f>
        <v>Kabir Singh</v>
      </c>
      <c r="C7" s="8" t="str">
        <f>VLOOKUP($A7,'04_Employee_Master'!$A$5:$T$9,3,FALSE)</f>
        <v>Technology</v>
      </c>
      <c r="D7" s="8" t="str">
        <f>VLOOKUP($A7,'04_Employee_Master'!$A$5:$T$9,4,FALSE)</f>
        <v>Software Engineer</v>
      </c>
      <c r="E7" s="8">
        <f>VLOOKUP($A7,'04_Employee_Master'!$A$5:$T$9,5,FALSE)</f>
        <v>45306</v>
      </c>
      <c r="F7" s="8" t="str">
        <f>VLOOKUP($A7,'04_Employee_Master'!$A$5:$T$9,6,FALSE)</f>
        <v>Full-time</v>
      </c>
      <c r="G7" s="8" t="str">
        <f>VLOOKUP($A7,'04_Employee_Master'!$A$5:$T$9,7,FALSE)</f>
        <v>Bengaluru</v>
      </c>
      <c r="H7" s="8" t="str">
        <f>VLOOKUP($A7,'04_Employee_Master'!$A$5:$T$9,8,FALSE)</f>
        <v>•••• 1984</v>
      </c>
      <c r="I7" s="8">
        <f>VLOOKUP($A7,'04_Employee_Master'!$A$5:$T$9,9,FALSE)</f>
        <v>48000</v>
      </c>
      <c r="J7" s="8">
        <f>VLOOKUP($A7,'04_Employee_Master'!$A$5:$T$9,10,FALSE)</f>
        <v>24000</v>
      </c>
    </row>
    <row r="8" spans="1:10">
      <c r="A8" s="3" t="s">
        <v>103</v>
      </c>
      <c r="B8" s="7" t="str">
        <f>VLOOKUP($A8,'04_Employee_Master'!$A$5:$T$9,2,FALSE)</f>
        <v>Meera Iyer</v>
      </c>
      <c r="C8" s="8" t="str">
        <f>VLOOKUP($A8,'04_Employee_Master'!$A$5:$T$9,3,FALSE)</f>
        <v>Finance</v>
      </c>
      <c r="D8" s="8" t="str">
        <f>VLOOKUP($A8,'04_Employee_Master'!$A$5:$T$9,4,FALSE)</f>
        <v>Finance Analyst</v>
      </c>
      <c r="E8" s="8">
        <f>VLOOKUP($A8,'04_Employee_Master'!$A$5:$T$9,5,FALSE)</f>
        <v>45719</v>
      </c>
      <c r="F8" s="8" t="str">
        <f>VLOOKUP($A8,'04_Employee_Master'!$A$5:$T$9,6,FALSE)</f>
        <v>Full-time</v>
      </c>
      <c r="G8" s="8" t="str">
        <f>VLOOKUP($A8,'04_Employee_Master'!$A$5:$T$9,7,FALSE)</f>
        <v>Chennai</v>
      </c>
      <c r="H8" s="8" t="str">
        <f>VLOOKUP($A8,'04_Employee_Master'!$A$5:$T$9,8,FALSE)</f>
        <v>•••• 6290</v>
      </c>
      <c r="I8" s="8">
        <f>VLOOKUP($A8,'04_Employee_Master'!$A$5:$T$9,9,FALSE)</f>
        <v>42000</v>
      </c>
      <c r="J8" s="8">
        <f>VLOOKUP($A8,'04_Employee_Master'!$A$5:$T$9,10,FALSE)</f>
        <v>21000</v>
      </c>
    </row>
    <row r="9" spans="1:10">
      <c r="A9" s="3" t="s">
        <v>109</v>
      </c>
      <c r="B9" s="7" t="str">
        <f>VLOOKUP($A9,'04_Employee_Master'!$A$5:$T$9,2,FALSE)</f>
        <v>Rohan Kapoor</v>
      </c>
      <c r="C9" s="8" t="str">
        <f>VLOOKUP($A9,'04_Employee_Master'!$A$5:$T$9,3,FALSE)</f>
        <v>HR</v>
      </c>
      <c r="D9" s="8" t="str">
        <f>VLOOKUP($A9,'04_Employee_Master'!$A$5:$T$9,4,FALSE)</f>
        <v>HR Executive</v>
      </c>
      <c r="E9" s="8">
        <f>VLOOKUP($A9,'04_Employee_Master'!$A$5:$T$9,5,FALSE)</f>
        <v>45910</v>
      </c>
      <c r="F9" s="8" t="str">
        <f>VLOOKUP($A9,'04_Employee_Master'!$A$5:$T$9,6,FALSE)</f>
        <v>Full-time</v>
      </c>
      <c r="G9" s="8" t="str">
        <f>VLOOKUP($A9,'04_Employee_Master'!$A$5:$T$9,7,FALSE)</f>
        <v>Delhi</v>
      </c>
      <c r="H9" s="8" t="str">
        <f>VLOOKUP($A9,'04_Employee_Master'!$A$5:$T$9,8,FALSE)</f>
        <v>•••• 3075</v>
      </c>
      <c r="I9" s="8">
        <f>VLOOKUP($A9,'04_Employee_Master'!$A$5:$T$9,9,FALSE)</f>
        <v>35000</v>
      </c>
      <c r="J9" s="8">
        <f>VLOOKUP($A9,'04_Employee_Master'!$A$5:$T$9,10,FALSE)</f>
        <v>17500</v>
      </c>
    </row>
  </sheetData>
  <mergeCells count="1">
    <mergeCell ref="A1:J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9"/>
  <sheetViews>
    <sheetView showGridLines="0" workbookViewId="0"/>
  </sheetViews>
  <sheetFormatPr defaultRowHeight="14.25"/>
  <cols>
    <col min="1" max="1" width="14" customWidth="1"/>
    <col min="2" max="2" width="20" customWidth="1"/>
    <col min="3" max="12" width="14" customWidth="1"/>
  </cols>
  <sheetData>
    <row r="1" spans="1:12" ht="30" customHeight="1">
      <c r="A1" s="13" t="s">
        <v>118</v>
      </c>
      <c r="B1" s="14"/>
      <c r="C1" s="14"/>
      <c r="D1" s="14"/>
      <c r="E1" s="14"/>
      <c r="F1" s="14"/>
      <c r="G1" s="14"/>
      <c r="H1" s="14"/>
      <c r="I1" s="14"/>
      <c r="J1" s="14"/>
      <c r="K1" s="14"/>
      <c r="L1" s="14"/>
    </row>
    <row r="2" spans="1:12">
      <c r="A2" s="2"/>
      <c r="B2" s="2"/>
      <c r="C2" s="2"/>
      <c r="D2" s="2"/>
      <c r="E2" s="2"/>
      <c r="F2" s="2"/>
      <c r="G2" s="2"/>
      <c r="H2" s="2"/>
      <c r="I2" s="2"/>
      <c r="J2" s="2"/>
      <c r="K2" s="2"/>
      <c r="L2" s="2"/>
    </row>
    <row r="3" spans="1:12">
      <c r="A3" s="2"/>
      <c r="B3" s="2"/>
      <c r="C3" s="2"/>
      <c r="D3" s="2"/>
      <c r="E3" s="2"/>
      <c r="F3" s="2"/>
      <c r="G3" s="2"/>
      <c r="H3" s="2"/>
      <c r="I3" s="2"/>
      <c r="J3" s="2"/>
      <c r="K3" s="2"/>
      <c r="L3" s="2"/>
    </row>
    <row r="4" spans="1:12" ht="15">
      <c r="A4" s="1" t="s">
        <v>67</v>
      </c>
      <c r="B4" s="1" t="s">
        <v>115</v>
      </c>
      <c r="C4" s="1" t="s">
        <v>44</v>
      </c>
      <c r="D4" s="1" t="s">
        <v>119</v>
      </c>
      <c r="E4" s="1" t="s">
        <v>120</v>
      </c>
      <c r="F4" s="1" t="s">
        <v>121</v>
      </c>
      <c r="G4" s="1" t="s">
        <v>122</v>
      </c>
      <c r="H4" s="1" t="s">
        <v>123</v>
      </c>
      <c r="I4" s="1" t="s">
        <v>124</v>
      </c>
      <c r="J4" s="1" t="s">
        <v>125</v>
      </c>
      <c r="K4" s="1" t="s">
        <v>126</v>
      </c>
      <c r="L4" s="1" t="s">
        <v>127</v>
      </c>
    </row>
    <row r="5" spans="1:12">
      <c r="A5" s="3" t="s">
        <v>86</v>
      </c>
      <c r="B5" s="3" t="s">
        <v>87</v>
      </c>
      <c r="C5" s="3">
        <v>26</v>
      </c>
      <c r="D5" s="3">
        <v>24</v>
      </c>
      <c r="E5" s="3">
        <v>2</v>
      </c>
      <c r="F5" s="3">
        <v>0</v>
      </c>
      <c r="G5" s="3">
        <v>0</v>
      </c>
      <c r="H5" s="7">
        <f>F5+G5+(I5*0.5)</f>
        <v>0</v>
      </c>
      <c r="I5" s="3">
        <v>0</v>
      </c>
      <c r="J5" s="3">
        <v>0</v>
      </c>
      <c r="K5" s="3">
        <v>1</v>
      </c>
      <c r="L5" s="3">
        <v>6</v>
      </c>
    </row>
    <row r="6" spans="1:12">
      <c r="A6" s="3" t="s">
        <v>93</v>
      </c>
      <c r="B6" s="3" t="s">
        <v>94</v>
      </c>
      <c r="C6" s="3">
        <v>26</v>
      </c>
      <c r="D6" s="3">
        <v>25</v>
      </c>
      <c r="E6" s="3">
        <v>1</v>
      </c>
      <c r="F6" s="3">
        <v>0</v>
      </c>
      <c r="G6" s="3">
        <v>0</v>
      </c>
      <c r="H6" s="7">
        <f>F6+G6+(I6*0.5)</f>
        <v>0</v>
      </c>
      <c r="I6" s="3">
        <v>0</v>
      </c>
      <c r="J6" s="3">
        <v>0</v>
      </c>
      <c r="K6" s="3">
        <v>0</v>
      </c>
      <c r="L6" s="3">
        <v>3</v>
      </c>
    </row>
    <row r="7" spans="1:12">
      <c r="A7" s="3" t="s">
        <v>98</v>
      </c>
      <c r="B7" s="3" t="s">
        <v>99</v>
      </c>
      <c r="C7" s="3">
        <v>26</v>
      </c>
      <c r="D7" s="3">
        <v>23</v>
      </c>
      <c r="E7" s="3">
        <v>1</v>
      </c>
      <c r="F7" s="3">
        <v>2</v>
      </c>
      <c r="G7" s="3">
        <v>0</v>
      </c>
      <c r="H7" s="7">
        <f>F7+G7+(I7*0.5)</f>
        <v>2</v>
      </c>
      <c r="I7" s="3">
        <v>0</v>
      </c>
      <c r="J7" s="3">
        <v>0</v>
      </c>
      <c r="K7" s="3">
        <v>2</v>
      </c>
      <c r="L7" s="3">
        <v>10</v>
      </c>
    </row>
    <row r="8" spans="1:12">
      <c r="A8" s="3" t="s">
        <v>103</v>
      </c>
      <c r="B8" s="3" t="s">
        <v>104</v>
      </c>
      <c r="C8" s="3">
        <v>26</v>
      </c>
      <c r="D8" s="3">
        <v>25</v>
      </c>
      <c r="E8" s="3">
        <v>0</v>
      </c>
      <c r="F8" s="3">
        <v>1</v>
      </c>
      <c r="G8" s="3">
        <v>0</v>
      </c>
      <c r="H8" s="7">
        <f>F8+G8+(I8*0.5)</f>
        <v>1</v>
      </c>
      <c r="I8" s="3">
        <v>0</v>
      </c>
      <c r="J8" s="3">
        <v>0</v>
      </c>
      <c r="K8" s="3">
        <v>0</v>
      </c>
      <c r="L8" s="3">
        <v>0</v>
      </c>
    </row>
    <row r="9" spans="1:12">
      <c r="A9" s="3" t="s">
        <v>109</v>
      </c>
      <c r="B9" s="3" t="s">
        <v>110</v>
      </c>
      <c r="C9" s="3">
        <v>26</v>
      </c>
      <c r="D9" s="3">
        <v>26</v>
      </c>
      <c r="E9" s="3">
        <v>0</v>
      </c>
      <c r="F9" s="3">
        <v>0</v>
      </c>
      <c r="G9" s="3">
        <v>0</v>
      </c>
      <c r="H9" s="7">
        <f>F9+G9+(I9*0.5)</f>
        <v>0</v>
      </c>
      <c r="I9" s="3">
        <v>0</v>
      </c>
      <c r="J9" s="3">
        <v>0</v>
      </c>
      <c r="K9" s="3">
        <v>3</v>
      </c>
      <c r="L9" s="3">
        <v>2</v>
      </c>
    </row>
  </sheetData>
  <mergeCells count="1">
    <mergeCell ref="A1:L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9"/>
  <sheetViews>
    <sheetView showGridLines="0" workbookViewId="0"/>
  </sheetViews>
  <sheetFormatPr defaultRowHeight="14.25"/>
  <cols>
    <col min="1" max="1" width="14" customWidth="1"/>
    <col min="2" max="2" width="22" customWidth="1"/>
    <col min="3" max="6" width="16" customWidth="1"/>
  </cols>
  <sheetData>
    <row r="1" spans="1:6" ht="30" customHeight="1">
      <c r="A1" s="13" t="s">
        <v>128</v>
      </c>
      <c r="B1" s="14"/>
      <c r="C1" s="14"/>
      <c r="D1" s="14"/>
      <c r="E1" s="14"/>
      <c r="F1" s="14"/>
    </row>
    <row r="2" spans="1:6">
      <c r="A2" s="2"/>
      <c r="B2" s="2"/>
      <c r="C2" s="2"/>
      <c r="D2" s="2"/>
      <c r="E2" s="2"/>
      <c r="F2" s="2"/>
    </row>
    <row r="3" spans="1:6">
      <c r="A3" s="2"/>
      <c r="B3" s="2"/>
      <c r="C3" s="2"/>
      <c r="D3" s="2"/>
      <c r="E3" s="2"/>
      <c r="F3" s="2"/>
    </row>
    <row r="4" spans="1:6" ht="15">
      <c r="A4" s="1" t="s">
        <v>67</v>
      </c>
      <c r="B4" s="1" t="s">
        <v>115</v>
      </c>
      <c r="C4" s="1" t="s">
        <v>127</v>
      </c>
      <c r="D4" s="1" t="s">
        <v>129</v>
      </c>
      <c r="E4" s="1" t="s">
        <v>130</v>
      </c>
      <c r="F4" s="1" t="s">
        <v>131</v>
      </c>
    </row>
    <row r="5" spans="1:6">
      <c r="A5" s="3" t="s">
        <v>86</v>
      </c>
      <c r="B5" s="7" t="str">
        <f>VLOOKUP(A5,'04_Employee_Master'!$A$5:$T$9,2,FALSE)</f>
        <v>Aarav Mehta</v>
      </c>
      <c r="C5" s="7">
        <f>VLOOKUP(A5,'06_Attendance_Leave'!$A$5:$L$9,12,FALSE)</f>
        <v>6</v>
      </c>
      <c r="D5" s="8">
        <f>VLOOKUP(A5,'04_Employee_Master'!$A$5:$T$9,15,FALSE)/'03_Control_Settings'!$B$8/'03_Control_Settings'!$B$9</f>
        <v>576.92307692307691</v>
      </c>
      <c r="E5" s="10">
        <v>1.5</v>
      </c>
      <c r="F5" s="8">
        <f>C5*D5*E5</f>
        <v>5192.3076923076924</v>
      </c>
    </row>
    <row r="6" spans="1:6">
      <c r="A6" s="3" t="s">
        <v>93</v>
      </c>
      <c r="B6" s="7" t="str">
        <f>VLOOKUP(A6,'04_Employee_Master'!$A$5:$T$9,2,FALSE)</f>
        <v>Diya Sharma</v>
      </c>
      <c r="C6" s="7">
        <f>VLOOKUP(A6,'06_Attendance_Leave'!$A$5:$L$9,12,FALSE)</f>
        <v>3</v>
      </c>
      <c r="D6" s="8">
        <f>VLOOKUP(A6,'04_Employee_Master'!$A$5:$T$9,15,FALSE)/'03_Control_Settings'!$B$8/'03_Control_Settings'!$B$9</f>
        <v>490.38461538461536</v>
      </c>
      <c r="E6" s="10">
        <v>1.5</v>
      </c>
      <c r="F6" s="8">
        <f>C6*D6*E6</f>
        <v>2206.7307692307695</v>
      </c>
    </row>
    <row r="7" spans="1:6">
      <c r="A7" s="3" t="s">
        <v>98</v>
      </c>
      <c r="B7" s="7" t="str">
        <f>VLOOKUP(A7,'04_Employee_Master'!$A$5:$T$9,2,FALSE)</f>
        <v>Kabir Singh</v>
      </c>
      <c r="C7" s="7">
        <f>VLOOKUP(A7,'06_Attendance_Leave'!$A$5:$L$9,12,FALSE)</f>
        <v>10</v>
      </c>
      <c r="D7" s="8">
        <f>VLOOKUP(A7,'04_Employee_Master'!$A$5:$T$9,15,FALSE)/'03_Control_Settings'!$B$8/'03_Control_Settings'!$B$9</f>
        <v>456.73076923076923</v>
      </c>
      <c r="E7" s="10">
        <v>1.5</v>
      </c>
      <c r="F7" s="8">
        <f>C7*D7*E7</f>
        <v>6850.961538461539</v>
      </c>
    </row>
    <row r="8" spans="1:6">
      <c r="A8" s="3" t="s">
        <v>103</v>
      </c>
      <c r="B8" s="7" t="str">
        <f>VLOOKUP(A8,'04_Employee_Master'!$A$5:$T$9,2,FALSE)</f>
        <v>Meera Iyer</v>
      </c>
      <c r="C8" s="7">
        <f>VLOOKUP(A8,'06_Attendance_Leave'!$A$5:$L$9,12,FALSE)</f>
        <v>0</v>
      </c>
      <c r="D8" s="8">
        <f>VLOOKUP(A8,'04_Employee_Master'!$A$5:$T$9,15,FALSE)/'03_Control_Settings'!$B$8/'03_Control_Settings'!$B$9</f>
        <v>394.23076923076923</v>
      </c>
      <c r="E8" s="10">
        <v>1.5</v>
      </c>
      <c r="F8" s="8">
        <f>C8*D8*E8</f>
        <v>0</v>
      </c>
    </row>
    <row r="9" spans="1:6">
      <c r="A9" s="3" t="s">
        <v>109</v>
      </c>
      <c r="B9" s="7" t="str">
        <f>VLOOKUP(A9,'04_Employee_Master'!$A$5:$T$9,2,FALSE)</f>
        <v>Rohan Kapoor</v>
      </c>
      <c r="C9" s="7">
        <f>VLOOKUP(A9,'06_Attendance_Leave'!$A$5:$L$9,12,FALSE)</f>
        <v>2</v>
      </c>
      <c r="D9" s="8">
        <f>VLOOKUP(A9,'04_Employee_Master'!$A$5:$T$9,15,FALSE)/'03_Control_Settings'!$B$8/'03_Control_Settings'!$B$9</f>
        <v>326.92307692307691</v>
      </c>
      <c r="E9" s="10">
        <v>1.5</v>
      </c>
      <c r="F9" s="8">
        <f>C9*D9*E9</f>
        <v>980.76923076923072</v>
      </c>
    </row>
  </sheetData>
  <mergeCells count="1">
    <mergeCell ref="A1:F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9"/>
  <sheetViews>
    <sheetView showGridLines="0" workbookViewId="0"/>
  </sheetViews>
  <sheetFormatPr defaultRowHeight="14.25"/>
  <cols>
    <col min="1" max="1" width="14" customWidth="1"/>
    <col min="2" max="2" width="20" customWidth="1"/>
    <col min="3" max="3" width="16" customWidth="1"/>
    <col min="4" max="19" width="15" customWidth="1"/>
  </cols>
  <sheetData>
    <row r="1" spans="1:19" ht="30" customHeight="1">
      <c r="A1" s="13" t="s">
        <v>132</v>
      </c>
      <c r="B1" s="14"/>
      <c r="C1" s="14"/>
      <c r="D1" s="14"/>
      <c r="E1" s="14"/>
      <c r="F1" s="14"/>
      <c r="G1" s="14"/>
      <c r="H1" s="14"/>
      <c r="I1" s="14"/>
      <c r="J1" s="14"/>
      <c r="K1" s="14"/>
      <c r="L1" s="14"/>
      <c r="M1" s="14"/>
      <c r="N1" s="14"/>
      <c r="O1" s="14"/>
      <c r="P1" s="14"/>
      <c r="Q1" s="14"/>
      <c r="R1" s="14"/>
      <c r="S1" s="14"/>
    </row>
    <row r="2" spans="1:19">
      <c r="A2" s="2"/>
      <c r="B2" s="2"/>
      <c r="C2" s="2"/>
      <c r="D2" s="2"/>
      <c r="E2" s="2"/>
      <c r="F2" s="2"/>
      <c r="G2" s="2"/>
      <c r="H2" s="2"/>
      <c r="I2" s="2"/>
      <c r="J2" s="2"/>
      <c r="K2" s="2"/>
      <c r="L2" s="2"/>
      <c r="M2" s="2"/>
      <c r="N2" s="2"/>
      <c r="O2" s="2"/>
      <c r="P2" s="2"/>
      <c r="Q2" s="2"/>
      <c r="R2" s="2"/>
      <c r="S2" s="2"/>
    </row>
    <row r="3" spans="1:19">
      <c r="A3" s="2"/>
      <c r="B3" s="2"/>
      <c r="C3" s="2"/>
      <c r="D3" s="2"/>
      <c r="E3" s="2"/>
      <c r="F3" s="2"/>
      <c r="G3" s="2"/>
      <c r="H3" s="2"/>
      <c r="I3" s="2"/>
      <c r="J3" s="2"/>
      <c r="K3" s="2"/>
      <c r="L3" s="2"/>
      <c r="M3" s="2"/>
      <c r="N3" s="2"/>
      <c r="O3" s="2"/>
      <c r="P3" s="2"/>
      <c r="Q3" s="2"/>
      <c r="R3" s="2"/>
      <c r="S3" s="2"/>
    </row>
    <row r="4" spans="1:19" ht="30">
      <c r="A4" s="1" t="s">
        <v>67</v>
      </c>
      <c r="B4" s="1" t="s">
        <v>115</v>
      </c>
      <c r="C4" s="1" t="s">
        <v>25</v>
      </c>
      <c r="D4" s="1" t="s">
        <v>116</v>
      </c>
      <c r="E4" s="1" t="s">
        <v>75</v>
      </c>
      <c r="F4" s="1" t="s">
        <v>133</v>
      </c>
      <c r="G4" s="1" t="s">
        <v>134</v>
      </c>
      <c r="H4" s="1" t="s">
        <v>135</v>
      </c>
      <c r="I4" s="1" t="s">
        <v>136</v>
      </c>
      <c r="J4" s="1" t="s">
        <v>137</v>
      </c>
      <c r="K4" s="1" t="s">
        <v>138</v>
      </c>
      <c r="L4" s="1" t="s">
        <v>139</v>
      </c>
      <c r="M4" s="1" t="s">
        <v>49</v>
      </c>
      <c r="N4" s="1" t="s">
        <v>140</v>
      </c>
      <c r="O4" s="1" t="s">
        <v>141</v>
      </c>
      <c r="P4" s="1" t="s">
        <v>142</v>
      </c>
      <c r="Q4" s="1" t="s">
        <v>18</v>
      </c>
      <c r="R4" s="1" t="s">
        <v>143</v>
      </c>
      <c r="S4" s="1" t="s">
        <v>20</v>
      </c>
    </row>
    <row r="5" spans="1:19" ht="15">
      <c r="A5" s="3" t="s">
        <v>86</v>
      </c>
      <c r="B5" s="7" t="str">
        <f>VLOOKUP($A5,'04_Employee_Master'!$A$5:$T$9,2,FALSE)</f>
        <v>Aarav Mehta</v>
      </c>
      <c r="C5" s="7" t="str">
        <f>VLOOKUP($A5,'04_Employee_Master'!$A$5:$T$9,3,FALSE)</f>
        <v>Sales</v>
      </c>
      <c r="D5" s="8">
        <f>VLOOKUP($A5,'04_Employee_Master'!$A$5:$T$9,9,FALSE)</f>
        <v>60000</v>
      </c>
      <c r="E5" s="8">
        <f>VLOOKUP($A5,'04_Employee_Master'!$A$5:$T$9,10,FALSE)</f>
        <v>30000</v>
      </c>
      <c r="F5" s="8">
        <f>VLOOKUP($A5,'04_Employee_Master'!$A$5:$T$9,11,FALSE)+VLOOKUP($A5,'04_Employee_Master'!$A$5:$T$9,12,FALSE)+VLOOKUP($A5,'04_Employee_Master'!$A$5:$T$9,13,FALSE)+VLOOKUP($A5,'04_Employee_Master'!$A$5:$T$9,14,FALSE)</f>
        <v>30000</v>
      </c>
      <c r="G5" s="8">
        <f>SUMIF('16_Bonus_Incentive'!$A$5:$A$9,$A5,'16_Bonus_Incentive'!$E$5:$E$9)</f>
        <v>5000</v>
      </c>
      <c r="H5" s="8">
        <f>VLOOKUP($A5,'07_Overtime'!$A$5:$F$9,6,FALSE)</f>
        <v>5192.3076923076924</v>
      </c>
      <c r="I5" s="8">
        <f>SUM(D5:H5)</f>
        <v>130192.30769230769</v>
      </c>
      <c r="J5" s="8">
        <f>IF(VLOOKUP($A5,'04_Employee_Master'!$A$5:$T$9,17,FALSE)="Yes",D5*'03_Control_Settings'!$G$5,0)</f>
        <v>7200</v>
      </c>
      <c r="K5" s="8">
        <f>IF(VLOOKUP($A5,'04_Employee_Master'!$A$5:$T$9,18,FALSE)="Yes",I5*'03_Control_Settings'!$G$7,0)</f>
        <v>976.44230769230762</v>
      </c>
      <c r="L5" s="8">
        <f>'03_Control_Settings'!$G$9</f>
        <v>200</v>
      </c>
      <c r="M5" s="8">
        <f>IF(VLOOKUP($A5,'04_Employee_Master'!$A$5:$T$9,19,FALSE)="Yes",I5*'03_Control_Settings'!$G$10,0)</f>
        <v>6509.6153846153848</v>
      </c>
      <c r="N5" s="8">
        <f>SUMIF('15_Loan_Advance'!$A$5:$A$9,$A5,'15_Loan_Advance'!$D$5:$D$9)</f>
        <v>0</v>
      </c>
      <c r="O5" s="8">
        <f>VLOOKUP($A5,'04_Employee_Master'!$A$5:$T$9,15,FALSE)/VLOOKUP($A5,'06_Attendance_Leave'!$A$5:$L$9,3,FALSE)*VLOOKUP($A5,'06_Attendance_Leave'!$A$5:$L$9,8,FALSE)</f>
        <v>0</v>
      </c>
      <c r="P5" s="8">
        <f>0</f>
        <v>0</v>
      </c>
      <c r="Q5" s="8">
        <f>SUM(J5:P5)</f>
        <v>14886.057692307693</v>
      </c>
      <c r="R5" s="6">
        <f>I5-Q5</f>
        <v>115306.25</v>
      </c>
      <c r="S5" s="8">
        <f>I5+IF(VLOOKUP($A5,'04_Employee_Master'!$A$5:$T$9,17,FALSE)="Yes",D5*'03_Control_Settings'!$G$6,0)+IF(VLOOKUP($A5,'04_Employee_Master'!$A$5:$T$9,18,FALSE)="Yes",I5*'03_Control_Settings'!$G$8,0)</f>
        <v>141623.55769230769</v>
      </c>
    </row>
    <row r="6" spans="1:19" ht="15">
      <c r="A6" s="3" t="s">
        <v>93</v>
      </c>
      <c r="B6" s="7" t="str">
        <f>VLOOKUP($A6,'04_Employee_Master'!$A$5:$T$9,2,FALSE)</f>
        <v>Diya Sharma</v>
      </c>
      <c r="C6" s="7" t="str">
        <f>VLOOKUP($A6,'04_Employee_Master'!$A$5:$T$9,3,FALSE)</f>
        <v>Operations</v>
      </c>
      <c r="D6" s="8">
        <f>VLOOKUP($A6,'04_Employee_Master'!$A$5:$T$9,9,FALSE)</f>
        <v>52000</v>
      </c>
      <c r="E6" s="8">
        <f>VLOOKUP($A6,'04_Employee_Master'!$A$5:$T$9,10,FALSE)</f>
        <v>26000</v>
      </c>
      <c r="F6" s="8">
        <f>VLOOKUP($A6,'04_Employee_Master'!$A$5:$T$9,11,FALSE)+VLOOKUP($A6,'04_Employee_Master'!$A$5:$T$9,12,FALSE)+VLOOKUP($A6,'04_Employee_Master'!$A$5:$T$9,13,FALSE)+VLOOKUP($A6,'04_Employee_Master'!$A$5:$T$9,14,FALSE)</f>
        <v>24000</v>
      </c>
      <c r="G6" s="8">
        <f>SUMIF('16_Bonus_Incentive'!$A$5:$A$9,$A6,'16_Bonus_Incentive'!$E$5:$E$9)</f>
        <v>3000</v>
      </c>
      <c r="H6" s="8">
        <f>VLOOKUP($A6,'07_Overtime'!$A$5:$F$9,6,FALSE)</f>
        <v>2206.7307692307695</v>
      </c>
      <c r="I6" s="8">
        <f>SUM(D6:H6)</f>
        <v>107206.73076923077</v>
      </c>
      <c r="J6" s="8">
        <f>IF(VLOOKUP($A6,'04_Employee_Master'!$A$5:$T$9,17,FALSE)="Yes",D6*'03_Control_Settings'!$G$5,0)</f>
        <v>6240</v>
      </c>
      <c r="K6" s="8">
        <f>IF(VLOOKUP($A6,'04_Employee_Master'!$A$5:$T$9,18,FALSE)="Yes",I6*'03_Control_Settings'!$G$7,0)</f>
        <v>804.05048076923072</v>
      </c>
      <c r="L6" s="8">
        <f>'03_Control_Settings'!$G$9</f>
        <v>200</v>
      </c>
      <c r="M6" s="8">
        <f>IF(VLOOKUP($A6,'04_Employee_Master'!$A$5:$T$9,19,FALSE)="Yes",I6*'03_Control_Settings'!$G$10,0)</f>
        <v>5360.336538461539</v>
      </c>
      <c r="N6" s="8">
        <f>SUMIF('15_Loan_Advance'!$A$5:$A$9,$A6,'15_Loan_Advance'!$D$5:$D$9)</f>
        <v>3000</v>
      </c>
      <c r="O6" s="8">
        <f>VLOOKUP($A6,'04_Employee_Master'!$A$5:$T$9,15,FALSE)/VLOOKUP($A6,'06_Attendance_Leave'!$A$5:$L$9,3,FALSE)*VLOOKUP($A6,'06_Attendance_Leave'!$A$5:$L$9,8,FALSE)</f>
        <v>0</v>
      </c>
      <c r="P6" s="8">
        <f>0</f>
        <v>0</v>
      </c>
      <c r="Q6" s="8">
        <f>SUM(J6:P6)</f>
        <v>15604.38701923077</v>
      </c>
      <c r="R6" s="6">
        <f>I6-Q6</f>
        <v>91602.34375</v>
      </c>
      <c r="S6" s="8">
        <f>I6+IF(VLOOKUP($A6,'04_Employee_Master'!$A$5:$T$9,17,FALSE)="Yes",D6*'03_Control_Settings'!$G$6,0)+IF(VLOOKUP($A6,'04_Employee_Master'!$A$5:$T$9,18,FALSE)="Yes",I6*'03_Control_Settings'!$G$8,0)</f>
        <v>116930.94951923077</v>
      </c>
    </row>
    <row r="7" spans="1:19" ht="15">
      <c r="A7" s="3" t="s">
        <v>98</v>
      </c>
      <c r="B7" s="7" t="str">
        <f>VLOOKUP($A7,'04_Employee_Master'!$A$5:$T$9,2,FALSE)</f>
        <v>Kabir Singh</v>
      </c>
      <c r="C7" s="7" t="str">
        <f>VLOOKUP($A7,'04_Employee_Master'!$A$5:$T$9,3,FALSE)</f>
        <v>Technology</v>
      </c>
      <c r="D7" s="8">
        <f>VLOOKUP($A7,'04_Employee_Master'!$A$5:$T$9,9,FALSE)</f>
        <v>48000</v>
      </c>
      <c r="E7" s="8">
        <f>VLOOKUP($A7,'04_Employee_Master'!$A$5:$T$9,10,FALSE)</f>
        <v>24000</v>
      </c>
      <c r="F7" s="8">
        <f>VLOOKUP($A7,'04_Employee_Master'!$A$5:$T$9,11,FALSE)+VLOOKUP($A7,'04_Employee_Master'!$A$5:$T$9,12,FALSE)+VLOOKUP($A7,'04_Employee_Master'!$A$5:$T$9,13,FALSE)+VLOOKUP($A7,'04_Employee_Master'!$A$5:$T$9,14,FALSE)</f>
        <v>23000</v>
      </c>
      <c r="G7" s="8">
        <f>SUMIF('16_Bonus_Incentive'!$A$5:$A$9,$A7,'16_Bonus_Incentive'!$E$5:$E$9)</f>
        <v>2500</v>
      </c>
      <c r="H7" s="8">
        <f>VLOOKUP($A7,'07_Overtime'!$A$5:$F$9,6,FALSE)</f>
        <v>6850.961538461539</v>
      </c>
      <c r="I7" s="8">
        <f>SUM(D7:H7)</f>
        <v>104350.96153846153</v>
      </c>
      <c r="J7" s="8">
        <f>IF(VLOOKUP($A7,'04_Employee_Master'!$A$5:$T$9,17,FALSE)="Yes",D7*'03_Control_Settings'!$G$5,0)</f>
        <v>5760</v>
      </c>
      <c r="K7" s="8">
        <f>IF(VLOOKUP($A7,'04_Employee_Master'!$A$5:$T$9,18,FALSE)="Yes",I7*'03_Control_Settings'!$G$7,0)</f>
        <v>782.63221153846143</v>
      </c>
      <c r="L7" s="8">
        <f>'03_Control_Settings'!$G$9</f>
        <v>200</v>
      </c>
      <c r="M7" s="8">
        <f>IF(VLOOKUP($A7,'04_Employee_Master'!$A$5:$T$9,19,FALSE)="Yes",I7*'03_Control_Settings'!$G$10,0)</f>
        <v>5217.5480769230771</v>
      </c>
      <c r="N7" s="8">
        <f>SUMIF('15_Loan_Advance'!$A$5:$A$9,$A7,'15_Loan_Advance'!$D$5:$D$9)</f>
        <v>0</v>
      </c>
      <c r="O7" s="8">
        <f>VLOOKUP($A7,'04_Employee_Master'!$A$5:$T$9,15,FALSE)/VLOOKUP($A7,'06_Attendance_Leave'!$A$5:$L$9,3,FALSE)*VLOOKUP($A7,'06_Attendance_Leave'!$A$5:$L$9,8,FALSE)</f>
        <v>7307.6923076923076</v>
      </c>
      <c r="P7" s="8">
        <f>0</f>
        <v>0</v>
      </c>
      <c r="Q7" s="8">
        <f>SUM(J7:P7)</f>
        <v>19267.872596153848</v>
      </c>
      <c r="R7" s="6">
        <f>I7-Q7</f>
        <v>85083.088942307688</v>
      </c>
      <c r="S7" s="8">
        <f>I7+IF(VLOOKUP($A7,'04_Employee_Master'!$A$5:$T$9,17,FALSE)="Yes",D7*'03_Control_Settings'!$G$6,0)+IF(VLOOKUP($A7,'04_Employee_Master'!$A$5:$T$9,18,FALSE)="Yes",I7*'03_Control_Settings'!$G$8,0)</f>
        <v>113502.36778846153</v>
      </c>
    </row>
    <row r="8" spans="1:19" ht="15">
      <c r="A8" s="3" t="s">
        <v>103</v>
      </c>
      <c r="B8" s="7" t="str">
        <f>VLOOKUP($A8,'04_Employee_Master'!$A$5:$T$9,2,FALSE)</f>
        <v>Meera Iyer</v>
      </c>
      <c r="C8" s="7" t="str">
        <f>VLOOKUP($A8,'04_Employee_Master'!$A$5:$T$9,3,FALSE)</f>
        <v>Finance</v>
      </c>
      <c r="D8" s="8">
        <f>VLOOKUP($A8,'04_Employee_Master'!$A$5:$T$9,9,FALSE)</f>
        <v>42000</v>
      </c>
      <c r="E8" s="8">
        <f>VLOOKUP($A8,'04_Employee_Master'!$A$5:$T$9,10,FALSE)</f>
        <v>21000</v>
      </c>
      <c r="F8" s="8">
        <f>VLOOKUP($A8,'04_Employee_Master'!$A$5:$T$9,11,FALSE)+VLOOKUP($A8,'04_Employee_Master'!$A$5:$T$9,12,FALSE)+VLOOKUP($A8,'04_Employee_Master'!$A$5:$T$9,13,FALSE)+VLOOKUP($A8,'04_Employee_Master'!$A$5:$T$9,14,FALSE)</f>
        <v>19000</v>
      </c>
      <c r="G8" s="8">
        <f>SUMIF('16_Bonus_Incentive'!$A$5:$A$9,$A8,'16_Bonus_Incentive'!$E$5:$E$9)</f>
        <v>0</v>
      </c>
      <c r="H8" s="8">
        <f>VLOOKUP($A8,'07_Overtime'!$A$5:$F$9,6,FALSE)</f>
        <v>0</v>
      </c>
      <c r="I8" s="8">
        <f>SUM(D8:H8)</f>
        <v>82000</v>
      </c>
      <c r="J8" s="8">
        <f>IF(VLOOKUP($A8,'04_Employee_Master'!$A$5:$T$9,17,FALSE)="Yes",D8*'03_Control_Settings'!$G$5,0)</f>
        <v>5040</v>
      </c>
      <c r="K8" s="8">
        <f>IF(VLOOKUP($A8,'04_Employee_Master'!$A$5:$T$9,18,FALSE)="Yes",I8*'03_Control_Settings'!$G$7,0)</f>
        <v>0</v>
      </c>
      <c r="L8" s="8">
        <f>'03_Control_Settings'!$G$9</f>
        <v>200</v>
      </c>
      <c r="M8" s="8">
        <f>IF(VLOOKUP($A8,'04_Employee_Master'!$A$5:$T$9,19,FALSE)="Yes",I8*'03_Control_Settings'!$G$10,0)</f>
        <v>4100</v>
      </c>
      <c r="N8" s="8">
        <f>SUMIF('15_Loan_Advance'!$A$5:$A$9,$A8,'15_Loan_Advance'!$D$5:$D$9)</f>
        <v>2000</v>
      </c>
      <c r="O8" s="8">
        <f>VLOOKUP($A8,'04_Employee_Master'!$A$5:$T$9,15,FALSE)/VLOOKUP($A8,'06_Attendance_Leave'!$A$5:$L$9,3,FALSE)*VLOOKUP($A8,'06_Attendance_Leave'!$A$5:$L$9,8,FALSE)</f>
        <v>3153.8461538461538</v>
      </c>
      <c r="P8" s="8">
        <f>0</f>
        <v>0</v>
      </c>
      <c r="Q8" s="8">
        <f>SUM(J8:P8)</f>
        <v>14493.846153846154</v>
      </c>
      <c r="R8" s="6">
        <f>I8-Q8</f>
        <v>67506.153846153844</v>
      </c>
      <c r="S8" s="8">
        <f>I8+IF(VLOOKUP($A8,'04_Employee_Master'!$A$5:$T$9,17,FALSE)="Yes",D8*'03_Control_Settings'!$G$6,0)+IF(VLOOKUP($A8,'04_Employee_Master'!$A$5:$T$9,18,FALSE)="Yes",I8*'03_Control_Settings'!$G$8,0)</f>
        <v>87040</v>
      </c>
    </row>
    <row r="9" spans="1:19" ht="15">
      <c r="A9" s="3" t="s">
        <v>109</v>
      </c>
      <c r="B9" s="7" t="str">
        <f>VLOOKUP($A9,'04_Employee_Master'!$A$5:$T$9,2,FALSE)</f>
        <v>Rohan Kapoor</v>
      </c>
      <c r="C9" s="7" t="str">
        <f>VLOOKUP($A9,'04_Employee_Master'!$A$5:$T$9,3,FALSE)</f>
        <v>HR</v>
      </c>
      <c r="D9" s="8">
        <f>VLOOKUP($A9,'04_Employee_Master'!$A$5:$T$9,9,FALSE)</f>
        <v>35000</v>
      </c>
      <c r="E9" s="8">
        <f>VLOOKUP($A9,'04_Employee_Master'!$A$5:$T$9,10,FALSE)</f>
        <v>17500</v>
      </c>
      <c r="F9" s="8">
        <f>VLOOKUP($A9,'04_Employee_Master'!$A$5:$T$9,11,FALSE)+VLOOKUP($A9,'04_Employee_Master'!$A$5:$T$9,12,FALSE)+VLOOKUP($A9,'04_Employee_Master'!$A$5:$T$9,13,FALSE)+VLOOKUP($A9,'04_Employee_Master'!$A$5:$T$9,14,FALSE)</f>
        <v>15500</v>
      </c>
      <c r="G9" s="8">
        <f>SUMIF('16_Bonus_Incentive'!$A$5:$A$9,$A9,'16_Bonus_Incentive'!$E$5:$E$9)</f>
        <v>1000</v>
      </c>
      <c r="H9" s="8">
        <f>VLOOKUP($A9,'07_Overtime'!$A$5:$F$9,6,FALSE)</f>
        <v>980.76923076923072</v>
      </c>
      <c r="I9" s="8">
        <f>SUM(D9:H9)</f>
        <v>69980.769230769234</v>
      </c>
      <c r="J9" s="8">
        <f>IF(VLOOKUP($A9,'04_Employee_Master'!$A$5:$T$9,17,FALSE)="Yes",D9*'03_Control_Settings'!$G$5,0)</f>
        <v>4200</v>
      </c>
      <c r="K9" s="8">
        <f>IF(VLOOKUP($A9,'04_Employee_Master'!$A$5:$T$9,18,FALSE)="Yes",I9*'03_Control_Settings'!$G$7,0)</f>
        <v>0</v>
      </c>
      <c r="L9" s="8">
        <f>'03_Control_Settings'!$G$9</f>
        <v>200</v>
      </c>
      <c r="M9" s="8">
        <f>IF(VLOOKUP($A9,'04_Employee_Master'!$A$5:$T$9,19,FALSE)="Yes",I9*'03_Control_Settings'!$G$10,0)</f>
        <v>3499.0384615384619</v>
      </c>
      <c r="N9" s="8">
        <f>SUMIF('15_Loan_Advance'!$A$5:$A$9,$A9,'15_Loan_Advance'!$D$5:$D$9)</f>
        <v>0</v>
      </c>
      <c r="O9" s="8">
        <f>VLOOKUP($A9,'04_Employee_Master'!$A$5:$T$9,15,FALSE)/VLOOKUP($A9,'06_Attendance_Leave'!$A$5:$L$9,3,FALSE)*VLOOKUP($A9,'06_Attendance_Leave'!$A$5:$L$9,8,FALSE)</f>
        <v>0</v>
      </c>
      <c r="P9" s="8">
        <f>0</f>
        <v>0</v>
      </c>
      <c r="Q9" s="8">
        <f>SUM(J9:P9)</f>
        <v>7899.0384615384619</v>
      </c>
      <c r="R9" s="6">
        <f>I9-Q9</f>
        <v>62081.730769230773</v>
      </c>
      <c r="S9" s="8">
        <f>I9+IF(VLOOKUP($A9,'04_Employee_Master'!$A$5:$T$9,17,FALSE)="Yes",D9*'03_Control_Settings'!$G$6,0)+IF(VLOOKUP($A9,'04_Employee_Master'!$A$5:$T$9,18,FALSE)="Yes",I9*'03_Control_Settings'!$G$8,0)</f>
        <v>74180.769230769234</v>
      </c>
    </row>
  </sheetData>
  <mergeCells count="1">
    <mergeCell ref="A1:S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0"/>
  <sheetViews>
    <sheetView showGridLines="0" workbookViewId="0"/>
  </sheetViews>
  <sheetFormatPr defaultRowHeight="14.25"/>
  <cols>
    <col min="1" max="1" width="20" customWidth="1"/>
    <col min="2" max="2" width="15" customWidth="1"/>
    <col min="3" max="4" width="16" customWidth="1"/>
    <col min="5" max="5" width="18" customWidth="1"/>
    <col min="6" max="6" width="28" customWidth="1"/>
  </cols>
  <sheetData>
    <row r="1" spans="1:6" ht="30" customHeight="1">
      <c r="A1" s="13" t="s">
        <v>144</v>
      </c>
      <c r="B1" s="14"/>
      <c r="C1" s="14"/>
      <c r="D1" s="14"/>
      <c r="E1" s="14"/>
      <c r="F1" s="14"/>
    </row>
    <row r="2" spans="1:6">
      <c r="A2" s="2"/>
      <c r="B2" s="2"/>
      <c r="C2" s="2"/>
      <c r="D2" s="2"/>
      <c r="E2" s="2"/>
      <c r="F2" s="2"/>
    </row>
    <row r="3" spans="1:6">
      <c r="A3" s="2"/>
      <c r="B3" s="2"/>
      <c r="C3" s="2"/>
      <c r="D3" s="2"/>
      <c r="E3" s="2"/>
      <c r="F3" s="2"/>
    </row>
    <row r="4" spans="1:6" ht="15">
      <c r="A4" s="1" t="s">
        <v>34</v>
      </c>
      <c r="B4" s="1" t="s">
        <v>35</v>
      </c>
      <c r="C4" s="1" t="s">
        <v>36</v>
      </c>
      <c r="D4" s="1" t="s">
        <v>37</v>
      </c>
      <c r="E4" s="1" t="s">
        <v>145</v>
      </c>
      <c r="F4" s="1" t="s">
        <v>54</v>
      </c>
    </row>
    <row r="5" spans="1:6">
      <c r="A5" s="3" t="s">
        <v>38</v>
      </c>
      <c r="B5" s="3" t="s">
        <v>39</v>
      </c>
      <c r="C5" s="9">
        <v>0.12</v>
      </c>
      <c r="D5" s="4">
        <v>46113</v>
      </c>
      <c r="E5" s="3" t="s">
        <v>116</v>
      </c>
      <c r="F5" s="3" t="s">
        <v>146</v>
      </c>
    </row>
    <row r="6" spans="1:6">
      <c r="A6" s="3" t="s">
        <v>40</v>
      </c>
      <c r="B6" s="3" t="s">
        <v>39</v>
      </c>
      <c r="C6" s="9">
        <v>0.12</v>
      </c>
      <c r="D6" s="4">
        <v>46113</v>
      </c>
      <c r="E6" s="3" t="s">
        <v>116</v>
      </c>
      <c r="F6" s="3" t="s">
        <v>146</v>
      </c>
    </row>
    <row r="7" spans="1:6">
      <c r="A7" s="3" t="s">
        <v>43</v>
      </c>
      <c r="B7" s="3" t="s">
        <v>39</v>
      </c>
      <c r="C7" s="9">
        <v>7.4999999999999997E-3</v>
      </c>
      <c r="D7" s="4">
        <v>46113</v>
      </c>
      <c r="E7" s="3" t="s">
        <v>147</v>
      </c>
      <c r="F7" s="3" t="s">
        <v>148</v>
      </c>
    </row>
    <row r="8" spans="1:6">
      <c r="A8" s="3" t="s">
        <v>45</v>
      </c>
      <c r="B8" s="3" t="s">
        <v>39</v>
      </c>
      <c r="C8" s="9">
        <v>3.2500000000000001E-2</v>
      </c>
      <c r="D8" s="4">
        <v>46113</v>
      </c>
      <c r="E8" s="3" t="s">
        <v>147</v>
      </c>
      <c r="F8" s="3" t="s">
        <v>148</v>
      </c>
    </row>
    <row r="9" spans="1:6">
      <c r="A9" s="3" t="s">
        <v>47</v>
      </c>
      <c r="B9" s="3" t="s">
        <v>39</v>
      </c>
      <c r="C9" s="9">
        <v>200</v>
      </c>
      <c r="D9" s="4">
        <v>46113</v>
      </c>
      <c r="E9" s="3" t="s">
        <v>149</v>
      </c>
      <c r="F9" s="3" t="s">
        <v>150</v>
      </c>
    </row>
    <row r="10" spans="1:6">
      <c r="A10" s="3" t="s">
        <v>49</v>
      </c>
      <c r="B10" s="3" t="s">
        <v>39</v>
      </c>
      <c r="C10" s="10">
        <v>0.05</v>
      </c>
      <c r="D10" s="4">
        <v>46113</v>
      </c>
      <c r="E10" s="3" t="s">
        <v>147</v>
      </c>
      <c r="F10" s="3" t="s">
        <v>151</v>
      </c>
    </row>
  </sheetData>
  <mergeCells count="1">
    <mergeCell ref="A1:F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9"/>
  <sheetViews>
    <sheetView showGridLines="0" workbookViewId="0"/>
  </sheetViews>
  <sheetFormatPr defaultRowHeight="14.25"/>
  <cols>
    <col min="1" max="1" width="14" customWidth="1"/>
    <col min="2" max="2" width="22" customWidth="1"/>
    <col min="3" max="3" width="18" customWidth="1"/>
    <col min="4" max="7" width="16" customWidth="1"/>
    <col min="8" max="8" width="14" customWidth="1"/>
  </cols>
  <sheetData>
    <row r="1" spans="1:8" ht="30" customHeight="1">
      <c r="A1" s="13" t="s">
        <v>152</v>
      </c>
      <c r="B1" s="14"/>
      <c r="C1" s="14"/>
      <c r="D1" s="14"/>
      <c r="E1" s="14"/>
      <c r="F1" s="14"/>
      <c r="G1" s="14"/>
      <c r="H1" s="14"/>
    </row>
    <row r="2" spans="1:8">
      <c r="A2" s="2"/>
      <c r="B2" s="2"/>
      <c r="C2" s="2"/>
      <c r="D2" s="2"/>
      <c r="E2" s="2"/>
      <c r="F2" s="2"/>
      <c r="G2" s="2"/>
      <c r="H2" s="2"/>
    </row>
    <row r="3" spans="1:8">
      <c r="A3" s="2"/>
      <c r="B3" s="2"/>
      <c r="C3" s="2"/>
      <c r="D3" s="2"/>
      <c r="E3" s="2"/>
      <c r="F3" s="2"/>
      <c r="G3" s="2"/>
      <c r="H3" s="2"/>
    </row>
    <row r="4" spans="1:8" ht="15">
      <c r="A4" s="1" t="s">
        <v>67</v>
      </c>
      <c r="B4" s="1" t="s">
        <v>115</v>
      </c>
      <c r="C4" s="1" t="s">
        <v>25</v>
      </c>
      <c r="D4" s="1" t="s">
        <v>136</v>
      </c>
      <c r="E4" s="1" t="s">
        <v>153</v>
      </c>
      <c r="F4" s="1" t="s">
        <v>154</v>
      </c>
      <c r="G4" s="1" t="s">
        <v>20</v>
      </c>
      <c r="H4" s="1" t="s">
        <v>85</v>
      </c>
    </row>
    <row r="5" spans="1:8" ht="15">
      <c r="A5" s="7" t="str">
        <f>'08_Payroll_Calculator'!A5</f>
        <v>NST-001</v>
      </c>
      <c r="B5" s="7" t="str">
        <f>'08_Payroll_Calculator'!B5</f>
        <v>Aarav Mehta</v>
      </c>
      <c r="C5" s="7" t="str">
        <f>'08_Payroll_Calculator'!C5</f>
        <v>Sales</v>
      </c>
      <c r="D5" s="8">
        <f>'08_Payroll_Calculator'!I5</f>
        <v>130192.30769230769</v>
      </c>
      <c r="E5" s="8">
        <f>'08_Payroll_Calculator'!Q5</f>
        <v>14886.057692307693</v>
      </c>
      <c r="F5" s="6">
        <f>'08_Payroll_Calculator'!R5</f>
        <v>115306.25</v>
      </c>
      <c r="G5" s="6">
        <f>'08_Payroll_Calculator'!S5</f>
        <v>141623.55769230769</v>
      </c>
      <c r="H5" s="7" t="str">
        <f>VLOOKUP(A5,'04_Employee_Master'!$A$5:$T$9,20,FALSE)</f>
        <v>Active</v>
      </c>
    </row>
    <row r="6" spans="1:8" ht="15">
      <c r="A6" s="7" t="str">
        <f>'08_Payroll_Calculator'!A6</f>
        <v>NST-002</v>
      </c>
      <c r="B6" s="7" t="str">
        <f>'08_Payroll_Calculator'!B6</f>
        <v>Diya Sharma</v>
      </c>
      <c r="C6" s="7" t="str">
        <f>'08_Payroll_Calculator'!C6</f>
        <v>Operations</v>
      </c>
      <c r="D6" s="8">
        <f>'08_Payroll_Calculator'!I6</f>
        <v>107206.73076923077</v>
      </c>
      <c r="E6" s="8">
        <f>'08_Payroll_Calculator'!Q6</f>
        <v>15604.38701923077</v>
      </c>
      <c r="F6" s="6">
        <f>'08_Payroll_Calculator'!R6</f>
        <v>91602.34375</v>
      </c>
      <c r="G6" s="6">
        <f>'08_Payroll_Calculator'!S6</f>
        <v>116930.94951923077</v>
      </c>
      <c r="H6" s="7" t="str">
        <f>VLOOKUP(A6,'04_Employee_Master'!$A$5:$T$9,20,FALSE)</f>
        <v>Active</v>
      </c>
    </row>
    <row r="7" spans="1:8" ht="15">
      <c r="A7" s="7" t="str">
        <f>'08_Payroll_Calculator'!A7</f>
        <v>NST-003</v>
      </c>
      <c r="B7" s="7" t="str">
        <f>'08_Payroll_Calculator'!B7</f>
        <v>Kabir Singh</v>
      </c>
      <c r="C7" s="7" t="str">
        <f>'08_Payroll_Calculator'!C7</f>
        <v>Technology</v>
      </c>
      <c r="D7" s="8">
        <f>'08_Payroll_Calculator'!I7</f>
        <v>104350.96153846153</v>
      </c>
      <c r="E7" s="8">
        <f>'08_Payroll_Calculator'!Q7</f>
        <v>19267.872596153848</v>
      </c>
      <c r="F7" s="6">
        <f>'08_Payroll_Calculator'!R7</f>
        <v>85083.088942307688</v>
      </c>
      <c r="G7" s="6">
        <f>'08_Payroll_Calculator'!S7</f>
        <v>113502.36778846153</v>
      </c>
      <c r="H7" s="7" t="str">
        <f>VLOOKUP(A7,'04_Employee_Master'!$A$5:$T$9,20,FALSE)</f>
        <v>Active</v>
      </c>
    </row>
    <row r="8" spans="1:8" ht="15">
      <c r="A8" s="7" t="str">
        <f>'08_Payroll_Calculator'!A8</f>
        <v>NST-004</v>
      </c>
      <c r="B8" s="7" t="str">
        <f>'08_Payroll_Calculator'!B8</f>
        <v>Meera Iyer</v>
      </c>
      <c r="C8" s="7" t="str">
        <f>'08_Payroll_Calculator'!C8</f>
        <v>Finance</v>
      </c>
      <c r="D8" s="8">
        <f>'08_Payroll_Calculator'!I8</f>
        <v>82000</v>
      </c>
      <c r="E8" s="8">
        <f>'08_Payroll_Calculator'!Q8</f>
        <v>14493.846153846154</v>
      </c>
      <c r="F8" s="6">
        <f>'08_Payroll_Calculator'!R8</f>
        <v>67506.153846153844</v>
      </c>
      <c r="G8" s="6">
        <f>'08_Payroll_Calculator'!S8</f>
        <v>87040</v>
      </c>
      <c r="H8" s="7" t="str">
        <f>VLOOKUP(A8,'04_Employee_Master'!$A$5:$T$9,20,FALSE)</f>
        <v>Active</v>
      </c>
    </row>
    <row r="9" spans="1:8" ht="15">
      <c r="A9" s="7" t="str">
        <f>'08_Payroll_Calculator'!A9</f>
        <v>NST-005</v>
      </c>
      <c r="B9" s="7" t="str">
        <f>'08_Payroll_Calculator'!B9</f>
        <v>Rohan Kapoor</v>
      </c>
      <c r="C9" s="7" t="str">
        <f>'08_Payroll_Calculator'!C9</f>
        <v>HR</v>
      </c>
      <c r="D9" s="8">
        <f>'08_Payroll_Calculator'!I9</f>
        <v>69980.769230769234</v>
      </c>
      <c r="E9" s="8">
        <f>'08_Payroll_Calculator'!Q9</f>
        <v>7899.0384615384619</v>
      </c>
      <c r="F9" s="6">
        <f>'08_Payroll_Calculator'!R9</f>
        <v>62081.730769230773</v>
      </c>
      <c r="G9" s="6">
        <f>'08_Payroll_Calculator'!S9</f>
        <v>74180.769230769234</v>
      </c>
      <c r="H9" s="7" t="str">
        <f>VLOOKUP(A9,'04_Employee_Master'!$A$5:$T$9,20,FALSE)</f>
        <v>Active</v>
      </c>
    </row>
  </sheetData>
  <mergeCells count="1">
    <mergeCell ref="A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2"/>
  <sheetViews>
    <sheetView showGridLines="0" workbookViewId="0"/>
  </sheetViews>
  <sheetFormatPr defaultRowHeight="14.25"/>
  <cols>
    <col min="1" max="1" width="22" customWidth="1"/>
    <col min="2" max="2" width="24" customWidth="1"/>
    <col min="3" max="3" width="4" customWidth="1"/>
    <col min="4" max="4" width="22" customWidth="1"/>
    <col min="5" max="5" width="18" customWidth="1"/>
    <col min="6" max="6" width="4" customWidth="1"/>
  </cols>
  <sheetData>
    <row r="1" spans="1:6" ht="30" customHeight="1">
      <c r="A1" s="13" t="s">
        <v>155</v>
      </c>
      <c r="B1" s="14"/>
      <c r="C1" s="14"/>
      <c r="D1" s="14"/>
      <c r="E1" s="14"/>
      <c r="F1" s="15"/>
    </row>
    <row r="2" spans="1:6">
      <c r="A2" s="2"/>
      <c r="B2" s="2"/>
      <c r="C2" s="2"/>
      <c r="D2" s="2"/>
      <c r="E2" s="2"/>
    </row>
    <row r="3" spans="1:6" ht="15">
      <c r="A3" s="1" t="s">
        <v>156</v>
      </c>
      <c r="B3" s="3" t="s">
        <v>86</v>
      </c>
      <c r="C3" s="2"/>
      <c r="D3" s="2"/>
      <c r="E3" s="2"/>
    </row>
    <row r="4" spans="1:6">
      <c r="A4" s="2"/>
      <c r="B4" s="2"/>
      <c r="C4" s="2"/>
      <c r="D4" s="2"/>
      <c r="E4" s="2"/>
    </row>
    <row r="5" spans="1:6" ht="15">
      <c r="A5" s="1" t="s">
        <v>68</v>
      </c>
      <c r="B5" s="7" t="str">
        <f>VLOOKUP($B$3,'04_Employee_Master'!$A$5:$T$9,2,FALSE)</f>
        <v>Aarav Mehta</v>
      </c>
      <c r="C5" s="2"/>
      <c r="D5" s="2"/>
      <c r="E5" s="2"/>
    </row>
    <row r="6" spans="1:6" ht="15">
      <c r="A6" s="1" t="s">
        <v>69</v>
      </c>
      <c r="B6" s="7" t="str">
        <f>VLOOKUP($B$3,'04_Employee_Master'!$A$5:$T$9,4,FALSE)</f>
        <v>Sales Manager</v>
      </c>
      <c r="C6" s="2"/>
      <c r="D6" s="2"/>
      <c r="E6" s="2"/>
    </row>
    <row r="7" spans="1:6" ht="15">
      <c r="A7" s="1" t="s">
        <v>25</v>
      </c>
      <c r="B7" s="7" t="str">
        <f>VLOOKUP($B$3,'04_Employee_Master'!$A$5:$T$9,3,FALSE)</f>
        <v>Sales</v>
      </c>
      <c r="C7" s="2"/>
      <c r="D7" s="2"/>
      <c r="E7" s="2"/>
    </row>
    <row r="8" spans="1:6" ht="15">
      <c r="A8" s="1" t="s">
        <v>157</v>
      </c>
      <c r="B8" s="7" t="s">
        <v>5</v>
      </c>
      <c r="C8" s="2"/>
      <c r="D8" s="2"/>
      <c r="E8" s="2"/>
    </row>
    <row r="9" spans="1:6" ht="15">
      <c r="A9" s="1" t="s">
        <v>158</v>
      </c>
      <c r="B9" s="7">
        <f>VLOOKUP($B$3,'06_Attendance_Leave'!$A$5:$L$9,4,FALSE)+VLOOKUP($B$3,'06_Attendance_Leave'!$A$5:$L$9,5,FALSE)</f>
        <v>26</v>
      </c>
      <c r="C9" s="2"/>
      <c r="D9" s="2"/>
      <c r="E9" s="2"/>
    </row>
    <row r="10" spans="1:6" ht="15">
      <c r="A10" s="1" t="s">
        <v>123</v>
      </c>
      <c r="B10" s="7">
        <f>VLOOKUP($B$3,'06_Attendance_Leave'!$A$5:$L$9,8,FALSE)</f>
        <v>0</v>
      </c>
      <c r="C10" s="2"/>
      <c r="D10" s="2"/>
      <c r="E10" s="2"/>
    </row>
    <row r="11" spans="1:6">
      <c r="A11" s="2"/>
      <c r="B11" s="2"/>
      <c r="C11" s="2"/>
      <c r="D11" s="2"/>
      <c r="E11" s="2"/>
    </row>
    <row r="12" spans="1:6" ht="21.95" customHeight="1">
      <c r="A12" s="19" t="s">
        <v>153</v>
      </c>
      <c r="B12" s="14"/>
      <c r="C12" s="2"/>
      <c r="D12" s="2"/>
      <c r="E12" s="2"/>
    </row>
    <row r="13" spans="1:6" ht="15">
      <c r="A13" s="1" t="s">
        <v>116</v>
      </c>
      <c r="B13" s="8">
        <f>INDEX('08_Payroll_Calculator'!$D$5:$D$9,MATCH($B$3,'08_Payroll_Calculator'!$A$5:$A$9,0))</f>
        <v>60000</v>
      </c>
      <c r="C13" s="2"/>
      <c r="D13" s="1" t="s">
        <v>38</v>
      </c>
      <c r="E13" s="8">
        <f>INDEX('08_Payroll_Calculator'!$J$5:$J$9,MATCH($B$3,'08_Payroll_Calculator'!$A$5:$A$9,0))</f>
        <v>7200</v>
      </c>
    </row>
    <row r="14" spans="1:6" ht="15">
      <c r="A14" s="1" t="s">
        <v>75</v>
      </c>
      <c r="B14" s="8">
        <f>INDEX('08_Payroll_Calculator'!$E$5:$E$9,MATCH($B$3,'08_Payroll_Calculator'!$A$5:$A$9,0))</f>
        <v>30000</v>
      </c>
      <c r="C14" s="2"/>
      <c r="D14" s="1" t="s">
        <v>138</v>
      </c>
      <c r="E14" s="8">
        <f>INDEX('08_Payroll_Calculator'!$K$5:$K$9,MATCH($B$3,'08_Payroll_Calculator'!$A$5:$A$9,0))</f>
        <v>976.44230769230762</v>
      </c>
    </row>
    <row r="15" spans="1:6" ht="15">
      <c r="A15" s="1" t="s">
        <v>133</v>
      </c>
      <c r="B15" s="8">
        <f>INDEX('08_Payroll_Calculator'!$F$5:$F$9,MATCH($B$3,'08_Payroll_Calculator'!$A$5:$A$9,0))</f>
        <v>30000</v>
      </c>
      <c r="C15" s="2"/>
      <c r="D15" s="1" t="s">
        <v>47</v>
      </c>
      <c r="E15" s="8">
        <f>INDEX('08_Payroll_Calculator'!$L$5:$L$9,MATCH($B$3,'08_Payroll_Calculator'!$A$5:$A$9,0))</f>
        <v>200</v>
      </c>
    </row>
    <row r="16" spans="1:6" ht="15">
      <c r="A16" s="1" t="s">
        <v>134</v>
      </c>
      <c r="B16" s="8">
        <f>INDEX('08_Payroll_Calculator'!$G$5:$G$9,MATCH($B$3,'08_Payroll_Calculator'!$A$5:$A$9,0))</f>
        <v>5000</v>
      </c>
      <c r="C16" s="2"/>
      <c r="D16" s="1" t="s">
        <v>49</v>
      </c>
      <c r="E16" s="8">
        <f>INDEX('08_Payroll_Calculator'!$M$5:$M$9,MATCH($B$3,'08_Payroll_Calculator'!$A$5:$A$9,0))</f>
        <v>6509.6153846153848</v>
      </c>
    </row>
    <row r="17" spans="1:5" ht="15">
      <c r="A17" s="1" t="s">
        <v>56</v>
      </c>
      <c r="B17" s="8">
        <f>INDEX('08_Payroll_Calculator'!$H$5:$H$9,MATCH($B$3,'08_Payroll_Calculator'!$A$5:$A$9,0))</f>
        <v>5192.3076923076924</v>
      </c>
      <c r="C17" s="2"/>
      <c r="D17" s="1" t="s">
        <v>140</v>
      </c>
      <c r="E17" s="8">
        <f>INDEX('08_Payroll_Calculator'!$N$5:$N$9,MATCH($B$3,'08_Payroll_Calculator'!$A$5:$A$9,0))</f>
        <v>0</v>
      </c>
    </row>
    <row r="18" spans="1:5" ht="15">
      <c r="A18" s="1" t="s">
        <v>136</v>
      </c>
      <c r="B18" s="8">
        <f>INDEX('08_Payroll_Calculator'!$I$5:$I$9,MATCH($B$3,'08_Payroll_Calculator'!$A$5:$A$9,0))</f>
        <v>130192.30769230769</v>
      </c>
      <c r="C18" s="2"/>
      <c r="D18" s="1" t="s">
        <v>141</v>
      </c>
      <c r="E18" s="8">
        <f>INDEX('08_Payroll_Calculator'!$O$5:$O$9,MATCH($B$3,'08_Payroll_Calculator'!$A$5:$A$9,0))</f>
        <v>0</v>
      </c>
    </row>
    <row r="19" spans="1:5" ht="15">
      <c r="A19" s="2"/>
      <c r="B19" s="11"/>
      <c r="C19" s="2"/>
      <c r="D19" s="1" t="s">
        <v>18</v>
      </c>
      <c r="E19" s="8">
        <f>INDEX('08_Payroll_Calculator'!$Q$5:$Q$9,MATCH($B$3,'08_Payroll_Calculator'!$A$5:$A$9,0))</f>
        <v>14886.057692307693</v>
      </c>
    </row>
    <row r="20" spans="1:5">
      <c r="A20" s="2"/>
      <c r="B20" s="11"/>
      <c r="C20" s="2"/>
      <c r="D20" s="2"/>
      <c r="E20" s="2"/>
    </row>
    <row r="21" spans="1:5" ht="15">
      <c r="A21" s="5" t="s">
        <v>159</v>
      </c>
      <c r="B21" s="6">
        <f>INDEX('08_Payroll_Calculator'!$R$5:$R$9,MATCH($B$3,'08_Payroll_Calculator'!$A$5:$A$9,0))</f>
        <v>115306.25</v>
      </c>
      <c r="C21" s="2"/>
      <c r="D21" s="2"/>
      <c r="E21" s="2"/>
    </row>
    <row r="22" spans="1:5" ht="15">
      <c r="A22" s="5" t="s">
        <v>160</v>
      </c>
      <c r="B22" s="5" t="s">
        <v>161</v>
      </c>
      <c r="C22" s="2"/>
      <c r="D22" s="2"/>
      <c r="E22" s="2"/>
    </row>
  </sheetData>
  <mergeCells count="2">
    <mergeCell ref="A1:F1"/>
    <mergeCell ref="A12:B1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9"/>
  <sheetViews>
    <sheetView showGridLines="0" workbookViewId="0"/>
  </sheetViews>
  <sheetFormatPr defaultRowHeight="14.25"/>
  <cols>
    <col min="1" max="1" width="20" customWidth="1"/>
    <col min="2" max="5" width="18" customWidth="1"/>
  </cols>
  <sheetData>
    <row r="1" spans="1:5" ht="30" customHeight="1">
      <c r="A1" s="13" t="s">
        <v>162</v>
      </c>
      <c r="B1" s="14"/>
      <c r="C1" s="14"/>
      <c r="D1" s="14"/>
      <c r="E1" s="14"/>
    </row>
    <row r="2" spans="1:5">
      <c r="A2" s="2"/>
      <c r="B2" s="2"/>
      <c r="C2" s="2"/>
      <c r="D2" s="2"/>
      <c r="E2" s="2"/>
    </row>
    <row r="3" spans="1:5">
      <c r="A3" s="2"/>
      <c r="B3" s="2"/>
      <c r="C3" s="2"/>
      <c r="D3" s="2"/>
      <c r="E3" s="2"/>
    </row>
    <row r="4" spans="1:5" ht="15">
      <c r="A4" s="1" t="s">
        <v>25</v>
      </c>
      <c r="B4" s="1" t="s">
        <v>26</v>
      </c>
      <c r="C4" s="1" t="s">
        <v>17</v>
      </c>
      <c r="D4" s="1" t="s">
        <v>20</v>
      </c>
      <c r="E4" s="1" t="s">
        <v>21</v>
      </c>
    </row>
    <row r="5" spans="1:5">
      <c r="A5" s="7" t="s">
        <v>27</v>
      </c>
      <c r="B5" s="7">
        <f>COUNTIF('10_Payroll_Register'!$C$5:$C$9,A5)</f>
        <v>1</v>
      </c>
      <c r="C5" s="8">
        <f>SUMIF('10_Payroll_Register'!$C$5:$C$9,A5,'10_Payroll_Register'!$D$5:$D$9)</f>
        <v>130192.30769230769</v>
      </c>
      <c r="D5" s="8">
        <f>SUMIF('10_Payroll_Register'!$C$5:$C$9,A5,'10_Payroll_Register'!$G$5:$G$9)</f>
        <v>141623.55769230769</v>
      </c>
      <c r="E5" s="8">
        <f>IF(B5=0,0,C5/B5)</f>
        <v>130192.30769230769</v>
      </c>
    </row>
    <row r="6" spans="1:5">
      <c r="A6" s="7" t="s">
        <v>28</v>
      </c>
      <c r="B6" s="7">
        <f>COUNTIF('10_Payroll_Register'!$C$5:$C$9,A6)</f>
        <v>1</v>
      </c>
      <c r="C6" s="8">
        <f>SUMIF('10_Payroll_Register'!$C$5:$C$9,A6,'10_Payroll_Register'!$D$5:$D$9)</f>
        <v>107206.73076923077</v>
      </c>
      <c r="D6" s="8">
        <f>SUMIF('10_Payroll_Register'!$C$5:$C$9,A6,'10_Payroll_Register'!$G$5:$G$9)</f>
        <v>116930.94951923077</v>
      </c>
      <c r="E6" s="8">
        <f>IF(B6=0,0,C6/B6)</f>
        <v>107206.73076923077</v>
      </c>
    </row>
    <row r="7" spans="1:5">
      <c r="A7" s="7" t="s">
        <v>29</v>
      </c>
      <c r="B7" s="7">
        <f>COUNTIF('10_Payroll_Register'!$C$5:$C$9,A7)</f>
        <v>1</v>
      </c>
      <c r="C7" s="8">
        <f>SUMIF('10_Payroll_Register'!$C$5:$C$9,A7,'10_Payroll_Register'!$D$5:$D$9)</f>
        <v>104350.96153846153</v>
      </c>
      <c r="D7" s="8">
        <f>SUMIF('10_Payroll_Register'!$C$5:$C$9,A7,'10_Payroll_Register'!$G$5:$G$9)</f>
        <v>113502.36778846153</v>
      </c>
      <c r="E7" s="8">
        <f>IF(B7=0,0,C7/B7)</f>
        <v>104350.96153846153</v>
      </c>
    </row>
    <row r="8" spans="1:5">
      <c r="A8" s="7" t="s">
        <v>30</v>
      </c>
      <c r="B8" s="7">
        <f>COUNTIF('10_Payroll_Register'!$C$5:$C$9,A8)</f>
        <v>1</v>
      </c>
      <c r="C8" s="8">
        <f>SUMIF('10_Payroll_Register'!$C$5:$C$9,A8,'10_Payroll_Register'!$D$5:$D$9)</f>
        <v>82000</v>
      </c>
      <c r="D8" s="8">
        <f>SUMIF('10_Payroll_Register'!$C$5:$C$9,A8,'10_Payroll_Register'!$G$5:$G$9)</f>
        <v>87040</v>
      </c>
      <c r="E8" s="8">
        <f>IF(B8=0,0,C8/B8)</f>
        <v>82000</v>
      </c>
    </row>
    <row r="9" spans="1:5">
      <c r="A9" s="7" t="s">
        <v>31</v>
      </c>
      <c r="B9" s="7">
        <f>COUNTIF('10_Payroll_Register'!$C$5:$C$9,A9)</f>
        <v>1</v>
      </c>
      <c r="C9" s="8">
        <f>SUMIF('10_Payroll_Register'!$C$5:$C$9,A9,'10_Payroll_Register'!$D$5:$D$9)</f>
        <v>69980.769230769234</v>
      </c>
      <c r="D9" s="8">
        <f>SUMIF('10_Payroll_Register'!$C$5:$C$9,A9,'10_Payroll_Register'!$G$5:$G$9)</f>
        <v>74180.769230769234</v>
      </c>
      <c r="E9" s="8">
        <f>IF(B9=0,0,C9/B9)</f>
        <v>69980.769230769234</v>
      </c>
    </row>
  </sheetData>
  <mergeCells count="1">
    <mergeCell ref="A1:E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8"/>
  <sheetViews>
    <sheetView showGridLines="0" workbookViewId="0"/>
  </sheetViews>
  <sheetFormatPr defaultRowHeight="14.25"/>
  <cols>
    <col min="1" max="1" width="20" customWidth="1"/>
    <col min="2" max="5" width="18" customWidth="1"/>
  </cols>
  <sheetData>
    <row r="1" spans="1:5" ht="30" customHeight="1">
      <c r="A1" s="13" t="s">
        <v>163</v>
      </c>
      <c r="B1" s="14"/>
      <c r="C1" s="14"/>
      <c r="D1" s="14"/>
      <c r="E1" s="14"/>
    </row>
    <row r="2" spans="1:5">
      <c r="A2" s="2"/>
      <c r="B2" s="2"/>
      <c r="C2" s="2"/>
      <c r="D2" s="2"/>
      <c r="E2" s="2"/>
    </row>
    <row r="3" spans="1:5">
      <c r="A3" s="2"/>
      <c r="B3" s="2"/>
      <c r="C3" s="2"/>
      <c r="D3" s="2"/>
      <c r="E3" s="2"/>
    </row>
    <row r="4" spans="1:5" ht="15">
      <c r="A4" s="1" t="s">
        <v>164</v>
      </c>
      <c r="B4" s="1" t="s">
        <v>165</v>
      </c>
      <c r="C4" s="1" t="s">
        <v>166</v>
      </c>
      <c r="D4" s="1" t="s">
        <v>167</v>
      </c>
      <c r="E4" s="1" t="s">
        <v>168</v>
      </c>
    </row>
    <row r="5" spans="1:5">
      <c r="A5" s="2" t="s">
        <v>26</v>
      </c>
      <c r="B5" s="3">
        <v>5</v>
      </c>
      <c r="C5" s="7">
        <f>'02_Dashboard'!A6</f>
        <v>5</v>
      </c>
      <c r="D5" s="7">
        <f>C5-B5</f>
        <v>0</v>
      </c>
      <c r="E5" s="12">
        <f>IF(B5=0,0,D5/B5)</f>
        <v>0</v>
      </c>
    </row>
    <row r="6" spans="1:5">
      <c r="A6" s="2" t="s">
        <v>17</v>
      </c>
      <c r="B6" s="10">
        <v>340000</v>
      </c>
      <c r="C6" s="8">
        <f>'02_Dashboard'!B6</f>
        <v>493730.76923076925</v>
      </c>
      <c r="D6" s="8">
        <f>C6-B6</f>
        <v>153730.76923076925</v>
      </c>
      <c r="E6" s="12">
        <f>IF(B6=0,0,D6/B6)</f>
        <v>0.45214932126696838</v>
      </c>
    </row>
    <row r="7" spans="1:5">
      <c r="A7" s="2" t="s">
        <v>19</v>
      </c>
      <c r="B7" s="10">
        <v>290000</v>
      </c>
      <c r="C7" s="8">
        <f>'02_Dashboard'!D6</f>
        <v>421579.56730769225</v>
      </c>
      <c r="D7" s="8">
        <f>C7-B7</f>
        <v>131579.56730769225</v>
      </c>
      <c r="E7" s="12">
        <f>IF(B7=0,0,D7/B7)</f>
        <v>0.45372264588859396</v>
      </c>
    </row>
    <row r="8" spans="1:5">
      <c r="A8" s="2" t="s">
        <v>169</v>
      </c>
      <c r="B8" s="10">
        <v>9000</v>
      </c>
      <c r="C8" s="8">
        <f>'02_Dashboard'!C8</f>
        <v>15230.76923076923</v>
      </c>
      <c r="D8" s="8">
        <f>C8-B8</f>
        <v>6230.7692307692305</v>
      </c>
      <c r="E8" s="12">
        <f>IF(B8=0,0,D8/B8)</f>
        <v>0.69230769230769229</v>
      </c>
    </row>
  </sheetData>
  <mergeCells count="1">
    <mergeCell ref="A1:E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9"/>
  <sheetViews>
    <sheetView showGridLines="0" workbookViewId="0"/>
  </sheetViews>
  <sheetFormatPr defaultRowHeight="14.25"/>
  <cols>
    <col min="1" max="1" width="14" customWidth="1"/>
    <col min="2" max="2" width="22" customWidth="1"/>
    <col min="3" max="6" width="18" customWidth="1"/>
  </cols>
  <sheetData>
    <row r="1" spans="1:6" ht="30" customHeight="1">
      <c r="A1" s="13" t="s">
        <v>170</v>
      </c>
      <c r="B1" s="14"/>
      <c r="C1" s="14"/>
      <c r="D1" s="14"/>
      <c r="E1" s="14"/>
      <c r="F1" s="14"/>
    </row>
    <row r="2" spans="1:6">
      <c r="A2" s="2"/>
      <c r="B2" s="2"/>
      <c r="C2" s="2"/>
      <c r="D2" s="2"/>
      <c r="E2" s="2"/>
      <c r="F2" s="2"/>
    </row>
    <row r="3" spans="1:6">
      <c r="A3" s="2"/>
      <c r="B3" s="2"/>
      <c r="C3" s="2"/>
      <c r="D3" s="2"/>
      <c r="E3" s="2"/>
      <c r="F3" s="2"/>
    </row>
    <row r="4" spans="1:6" ht="30">
      <c r="A4" s="1" t="s">
        <v>67</v>
      </c>
      <c r="B4" s="1" t="s">
        <v>115</v>
      </c>
      <c r="C4" s="1" t="s">
        <v>80</v>
      </c>
      <c r="D4" s="1" t="s">
        <v>40</v>
      </c>
      <c r="E4" s="1" t="s">
        <v>45</v>
      </c>
      <c r="F4" s="1" t="s">
        <v>171</v>
      </c>
    </row>
    <row r="5" spans="1:6" ht="15">
      <c r="A5" s="3" t="s">
        <v>86</v>
      </c>
      <c r="B5" s="7" t="str">
        <f>VLOOKUP(A5,'10_Payroll_Register'!$A$5:$H$9,2,FALSE)</f>
        <v>Aarav Mehta</v>
      </c>
      <c r="C5" s="8">
        <f>VLOOKUP(A5,'10_Payroll_Register'!$A$5:$H$9,4,FALSE)</f>
        <v>130192.30769230769</v>
      </c>
      <c r="D5" s="8">
        <f>VLOOKUP(A5,'08_Payroll_Calculator'!$A$5:$S$9,4,FALSE)*'03_Control_Settings'!$G$6</f>
        <v>7200</v>
      </c>
      <c r="E5" s="8">
        <f>VLOOKUP(A5,'08_Payroll_Calculator'!$A$5:$S$9,9,FALSE)*'03_Control_Settings'!$G$8</f>
        <v>4231.25</v>
      </c>
      <c r="F5" s="6">
        <f>SUM(C5:E5)</f>
        <v>141623.55769230769</v>
      </c>
    </row>
    <row r="6" spans="1:6" ht="15">
      <c r="A6" s="3" t="s">
        <v>93</v>
      </c>
      <c r="B6" s="7" t="str">
        <f>VLOOKUP(A6,'10_Payroll_Register'!$A$5:$H$9,2,FALSE)</f>
        <v>Diya Sharma</v>
      </c>
      <c r="C6" s="8">
        <f>VLOOKUP(A6,'10_Payroll_Register'!$A$5:$H$9,4,FALSE)</f>
        <v>107206.73076923077</v>
      </c>
      <c r="D6" s="8">
        <f>VLOOKUP(A6,'08_Payroll_Calculator'!$A$5:$S$9,4,FALSE)*'03_Control_Settings'!$G$6</f>
        <v>6240</v>
      </c>
      <c r="E6" s="8">
        <f>VLOOKUP(A6,'08_Payroll_Calculator'!$A$5:$S$9,9,FALSE)*'03_Control_Settings'!$G$8</f>
        <v>3484.21875</v>
      </c>
      <c r="F6" s="6">
        <f>SUM(C6:E6)</f>
        <v>116930.94951923077</v>
      </c>
    </row>
    <row r="7" spans="1:6" ht="15">
      <c r="A7" s="3" t="s">
        <v>98</v>
      </c>
      <c r="B7" s="7" t="str">
        <f>VLOOKUP(A7,'10_Payroll_Register'!$A$5:$H$9,2,FALSE)</f>
        <v>Kabir Singh</v>
      </c>
      <c r="C7" s="8">
        <f>VLOOKUP(A7,'10_Payroll_Register'!$A$5:$H$9,4,FALSE)</f>
        <v>104350.96153846153</v>
      </c>
      <c r="D7" s="8">
        <f>VLOOKUP(A7,'08_Payroll_Calculator'!$A$5:$S$9,4,FALSE)*'03_Control_Settings'!$G$6</f>
        <v>5760</v>
      </c>
      <c r="E7" s="8">
        <f>VLOOKUP(A7,'08_Payroll_Calculator'!$A$5:$S$9,9,FALSE)*'03_Control_Settings'!$G$8</f>
        <v>3391.40625</v>
      </c>
      <c r="F7" s="6">
        <f>SUM(C7:E7)</f>
        <v>113502.36778846153</v>
      </c>
    </row>
    <row r="8" spans="1:6" ht="15">
      <c r="A8" s="3" t="s">
        <v>103</v>
      </c>
      <c r="B8" s="7" t="str">
        <f>VLOOKUP(A8,'10_Payroll_Register'!$A$5:$H$9,2,FALSE)</f>
        <v>Meera Iyer</v>
      </c>
      <c r="C8" s="8">
        <f>VLOOKUP(A8,'10_Payroll_Register'!$A$5:$H$9,4,FALSE)</f>
        <v>82000</v>
      </c>
      <c r="D8" s="8">
        <f>VLOOKUP(A8,'08_Payroll_Calculator'!$A$5:$S$9,4,FALSE)*'03_Control_Settings'!$G$6</f>
        <v>5040</v>
      </c>
      <c r="E8" s="8">
        <f>VLOOKUP(A8,'08_Payroll_Calculator'!$A$5:$S$9,9,FALSE)*'03_Control_Settings'!$G$8</f>
        <v>2665</v>
      </c>
      <c r="F8" s="6">
        <f>SUM(C8:E8)</f>
        <v>89705</v>
      </c>
    </row>
    <row r="9" spans="1:6" ht="15">
      <c r="A9" s="3" t="s">
        <v>109</v>
      </c>
      <c r="B9" s="7" t="str">
        <f>VLOOKUP(A9,'10_Payroll_Register'!$A$5:$H$9,2,FALSE)</f>
        <v>Rohan Kapoor</v>
      </c>
      <c r="C9" s="8">
        <f>VLOOKUP(A9,'10_Payroll_Register'!$A$5:$H$9,4,FALSE)</f>
        <v>69980.769230769234</v>
      </c>
      <c r="D9" s="8">
        <f>VLOOKUP(A9,'08_Payroll_Calculator'!$A$5:$S$9,4,FALSE)*'03_Control_Settings'!$G$6</f>
        <v>4200</v>
      </c>
      <c r="E9" s="8">
        <f>VLOOKUP(A9,'08_Payroll_Calculator'!$A$5:$S$9,9,FALSE)*'03_Control_Settings'!$G$8</f>
        <v>2274.375</v>
      </c>
      <c r="F9" s="6">
        <f>SUM(C9:E9)</f>
        <v>76455.144230769234</v>
      </c>
    </row>
  </sheetData>
  <mergeCells count="1">
    <mergeCell ref="A1:F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9"/>
  <sheetViews>
    <sheetView showGridLines="0" workbookViewId="0"/>
  </sheetViews>
  <sheetFormatPr defaultRowHeight="14.25"/>
  <cols>
    <col min="1" max="1" width="14" customWidth="1"/>
    <col min="2" max="2" width="22" customWidth="1"/>
    <col min="3" max="5" width="18" customWidth="1"/>
    <col min="6" max="6" width="14" customWidth="1"/>
  </cols>
  <sheetData>
    <row r="1" spans="1:6" ht="30" customHeight="1">
      <c r="A1" s="13" t="s">
        <v>172</v>
      </c>
      <c r="B1" s="14"/>
      <c r="C1" s="14"/>
      <c r="D1" s="14"/>
      <c r="E1" s="14"/>
      <c r="F1" s="14"/>
    </row>
    <row r="2" spans="1:6">
      <c r="A2" s="2"/>
      <c r="B2" s="2"/>
      <c r="C2" s="2"/>
      <c r="D2" s="2"/>
      <c r="E2" s="2"/>
      <c r="F2" s="2"/>
    </row>
    <row r="3" spans="1:6">
      <c r="A3" s="2"/>
      <c r="B3" s="2"/>
      <c r="C3" s="2"/>
      <c r="D3" s="2"/>
      <c r="E3" s="2"/>
      <c r="F3" s="2"/>
    </row>
    <row r="4" spans="1:6" ht="15">
      <c r="A4" s="1" t="s">
        <v>67</v>
      </c>
      <c r="B4" s="1" t="s">
        <v>115</v>
      </c>
      <c r="C4" s="1" t="s">
        <v>173</v>
      </c>
      <c r="D4" s="1" t="s">
        <v>174</v>
      </c>
      <c r="E4" s="1" t="s">
        <v>175</v>
      </c>
      <c r="F4" s="1" t="s">
        <v>85</v>
      </c>
    </row>
    <row r="5" spans="1:6">
      <c r="A5" s="3" t="s">
        <v>86</v>
      </c>
      <c r="B5" s="3" t="s">
        <v>87</v>
      </c>
      <c r="C5" s="10">
        <v>0</v>
      </c>
      <c r="D5" s="10">
        <v>0</v>
      </c>
      <c r="E5" s="8">
        <f>MAX(0,C5-D5)</f>
        <v>0</v>
      </c>
      <c r="F5" s="3" t="s">
        <v>92</v>
      </c>
    </row>
    <row r="6" spans="1:6">
      <c r="A6" s="3" t="s">
        <v>93</v>
      </c>
      <c r="B6" s="3" t="s">
        <v>94</v>
      </c>
      <c r="C6" s="10">
        <v>15000</v>
      </c>
      <c r="D6" s="10">
        <v>3000</v>
      </c>
      <c r="E6" s="8">
        <f>MAX(0,C6-D6)</f>
        <v>12000</v>
      </c>
      <c r="F6" s="3" t="s">
        <v>92</v>
      </c>
    </row>
    <row r="7" spans="1:6">
      <c r="A7" s="3" t="s">
        <v>98</v>
      </c>
      <c r="B7" s="3" t="s">
        <v>99</v>
      </c>
      <c r="C7" s="10">
        <v>0</v>
      </c>
      <c r="D7" s="10">
        <v>0</v>
      </c>
      <c r="E7" s="8">
        <f>MAX(0,C7-D7)</f>
        <v>0</v>
      </c>
      <c r="F7" s="3" t="s">
        <v>92</v>
      </c>
    </row>
    <row r="8" spans="1:6">
      <c r="A8" s="3" t="s">
        <v>103</v>
      </c>
      <c r="B8" s="3" t="s">
        <v>104</v>
      </c>
      <c r="C8" s="10">
        <v>6000</v>
      </c>
      <c r="D8" s="10">
        <v>2000</v>
      </c>
      <c r="E8" s="8">
        <f>MAX(0,C8-D8)</f>
        <v>4000</v>
      </c>
      <c r="F8" s="3" t="s">
        <v>92</v>
      </c>
    </row>
    <row r="9" spans="1:6">
      <c r="A9" s="3" t="s">
        <v>109</v>
      </c>
      <c r="B9" s="3" t="s">
        <v>110</v>
      </c>
      <c r="C9" s="10">
        <v>0</v>
      </c>
      <c r="D9" s="10">
        <v>0</v>
      </c>
      <c r="E9" s="8">
        <f>MAX(0,C9-D9)</f>
        <v>0</v>
      </c>
      <c r="F9" s="3" t="s">
        <v>92</v>
      </c>
    </row>
  </sheetData>
  <mergeCells count="1">
    <mergeCell ref="A1:F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9"/>
  <sheetViews>
    <sheetView showGridLines="0" workbookViewId="0"/>
  </sheetViews>
  <sheetFormatPr defaultRowHeight="14.25"/>
  <cols>
    <col min="1" max="1" width="14" customWidth="1"/>
    <col min="2" max="3" width="22" customWidth="1"/>
    <col min="4" max="4" width="20" customWidth="1"/>
    <col min="5" max="5" width="16" customWidth="1"/>
    <col min="6" max="6" width="14" customWidth="1"/>
  </cols>
  <sheetData>
    <row r="1" spans="1:6" ht="30" customHeight="1">
      <c r="A1" s="13" t="s">
        <v>176</v>
      </c>
      <c r="B1" s="14"/>
      <c r="C1" s="14"/>
      <c r="D1" s="14"/>
      <c r="E1" s="14"/>
      <c r="F1" s="14"/>
    </row>
    <row r="2" spans="1:6">
      <c r="A2" s="2"/>
      <c r="B2" s="2"/>
      <c r="C2" s="2"/>
      <c r="D2" s="2"/>
      <c r="E2" s="2"/>
      <c r="F2" s="2"/>
    </row>
    <row r="3" spans="1:6">
      <c r="A3" s="2"/>
      <c r="B3" s="2"/>
      <c r="C3" s="2"/>
      <c r="D3" s="2"/>
      <c r="E3" s="2"/>
      <c r="F3" s="2"/>
    </row>
    <row r="4" spans="1:6" ht="15">
      <c r="A4" s="1" t="s">
        <v>67</v>
      </c>
      <c r="B4" s="1" t="s">
        <v>115</v>
      </c>
      <c r="C4" s="1" t="s">
        <v>177</v>
      </c>
      <c r="D4" s="1" t="s">
        <v>178</v>
      </c>
      <c r="E4" s="1" t="s">
        <v>179</v>
      </c>
      <c r="F4" s="1" t="s">
        <v>180</v>
      </c>
    </row>
    <row r="5" spans="1:6">
      <c r="A5" s="3" t="s">
        <v>86</v>
      </c>
      <c r="B5" s="3" t="s">
        <v>87</v>
      </c>
      <c r="C5" s="3" t="s">
        <v>181</v>
      </c>
      <c r="D5" s="3" t="s">
        <v>182</v>
      </c>
      <c r="E5" s="10">
        <v>5000</v>
      </c>
      <c r="F5" s="3" t="s">
        <v>183</v>
      </c>
    </row>
    <row r="6" spans="1:6">
      <c r="A6" s="3" t="s">
        <v>93</v>
      </c>
      <c r="B6" s="3" t="s">
        <v>94</v>
      </c>
      <c r="C6" s="3" t="s">
        <v>184</v>
      </c>
      <c r="D6" s="3" t="s">
        <v>185</v>
      </c>
      <c r="E6" s="10">
        <v>3000</v>
      </c>
      <c r="F6" s="3" t="s">
        <v>183</v>
      </c>
    </row>
    <row r="7" spans="1:6">
      <c r="A7" s="3" t="s">
        <v>98</v>
      </c>
      <c r="B7" s="3" t="s">
        <v>99</v>
      </c>
      <c r="C7" s="3" t="s">
        <v>186</v>
      </c>
      <c r="D7" s="3" t="s">
        <v>187</v>
      </c>
      <c r="E7" s="10">
        <v>2500</v>
      </c>
      <c r="F7" s="3" t="s">
        <v>183</v>
      </c>
    </row>
    <row r="8" spans="1:6">
      <c r="A8" s="3" t="s">
        <v>103</v>
      </c>
      <c r="B8" s="3" t="s">
        <v>104</v>
      </c>
      <c r="C8" s="3" t="s">
        <v>184</v>
      </c>
      <c r="D8" s="3" t="s">
        <v>187</v>
      </c>
      <c r="E8" s="10">
        <v>0</v>
      </c>
      <c r="F8" s="3" t="s">
        <v>188</v>
      </c>
    </row>
    <row r="9" spans="1:6">
      <c r="A9" s="3" t="s">
        <v>109</v>
      </c>
      <c r="B9" s="3" t="s">
        <v>110</v>
      </c>
      <c r="C9" s="3" t="s">
        <v>184</v>
      </c>
      <c r="D9" s="3" t="s">
        <v>187</v>
      </c>
      <c r="E9" s="10">
        <v>1000</v>
      </c>
      <c r="F9" s="3" t="s">
        <v>183</v>
      </c>
    </row>
  </sheetData>
  <mergeCells count="1">
    <mergeCell ref="A1:F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5"/>
  <sheetViews>
    <sheetView showGridLines="0" workbookViewId="0"/>
  </sheetViews>
  <sheetFormatPr defaultRowHeight="14.25"/>
  <cols>
    <col min="1" max="9" width="18" customWidth="1"/>
  </cols>
  <sheetData>
    <row r="1" spans="1:9" ht="30" customHeight="1">
      <c r="A1" s="13" t="s">
        <v>189</v>
      </c>
      <c r="B1" s="14"/>
      <c r="C1" s="14"/>
      <c r="D1" s="14"/>
      <c r="E1" s="14"/>
      <c r="F1" s="14"/>
      <c r="G1" s="14"/>
      <c r="H1" s="14"/>
      <c r="I1" s="14"/>
    </row>
    <row r="2" spans="1:9">
      <c r="A2" s="2"/>
      <c r="B2" s="2"/>
      <c r="C2" s="2"/>
      <c r="D2" s="2"/>
      <c r="E2" s="2"/>
      <c r="F2" s="2"/>
      <c r="G2" s="2"/>
      <c r="H2" s="2"/>
      <c r="I2" s="2"/>
    </row>
    <row r="3" spans="1:9">
      <c r="A3" s="2"/>
      <c r="B3" s="2"/>
      <c r="C3" s="2"/>
      <c r="D3" s="2"/>
      <c r="E3" s="2"/>
      <c r="F3" s="2"/>
      <c r="G3" s="2"/>
      <c r="H3" s="2"/>
      <c r="I3" s="2"/>
    </row>
    <row r="4" spans="1:9" ht="15">
      <c r="A4" s="1" t="s">
        <v>67</v>
      </c>
      <c r="B4" s="1" t="s">
        <v>115</v>
      </c>
      <c r="C4" s="1" t="s">
        <v>190</v>
      </c>
      <c r="D4" s="1" t="s">
        <v>191</v>
      </c>
      <c r="E4" s="1" t="s">
        <v>192</v>
      </c>
      <c r="F4" s="1" t="s">
        <v>193</v>
      </c>
      <c r="G4" s="1" t="s">
        <v>194</v>
      </c>
      <c r="H4" s="1" t="s">
        <v>195</v>
      </c>
      <c r="I4" s="1" t="s">
        <v>196</v>
      </c>
    </row>
    <row r="5" spans="1:9">
      <c r="A5" s="3"/>
      <c r="B5" s="3"/>
      <c r="C5" s="3"/>
      <c r="D5" s="10">
        <v>0</v>
      </c>
      <c r="E5" s="10">
        <v>0</v>
      </c>
      <c r="F5" s="10">
        <v>0</v>
      </c>
      <c r="G5" s="10">
        <v>0</v>
      </c>
      <c r="H5" s="10">
        <v>0</v>
      </c>
      <c r="I5" s="8">
        <f>SUM(D5:F5)-SUM(G5:H5)</f>
        <v>0</v>
      </c>
    </row>
  </sheetData>
  <mergeCells count="1">
    <mergeCell ref="A1:I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9"/>
  <sheetViews>
    <sheetView showGridLines="0" workbookViewId="0"/>
  </sheetViews>
  <sheetFormatPr defaultRowHeight="14.25"/>
  <cols>
    <col min="1" max="1" width="28" customWidth="1"/>
    <col min="2" max="4" width="18" customWidth="1"/>
    <col min="5" max="5" width="14" customWidth="1"/>
    <col min="6" max="6" width="36" customWidth="1"/>
  </cols>
  <sheetData>
    <row r="1" spans="1:6" ht="30" customHeight="1">
      <c r="A1" s="13" t="s">
        <v>197</v>
      </c>
      <c r="B1" s="14"/>
      <c r="C1" s="14"/>
      <c r="D1" s="14"/>
      <c r="E1" s="14"/>
      <c r="F1" s="14"/>
    </row>
    <row r="2" spans="1:6">
      <c r="A2" s="2"/>
      <c r="B2" s="2"/>
      <c r="C2" s="2"/>
      <c r="D2" s="2"/>
      <c r="E2" s="2"/>
      <c r="F2" s="2"/>
    </row>
    <row r="3" spans="1:6">
      <c r="A3" s="2"/>
      <c r="B3" s="2"/>
      <c r="C3" s="2"/>
      <c r="D3" s="2"/>
      <c r="E3" s="2"/>
      <c r="F3" s="2"/>
    </row>
    <row r="4" spans="1:6" ht="15">
      <c r="A4" s="1" t="s">
        <v>198</v>
      </c>
      <c r="B4" s="1" t="s">
        <v>199</v>
      </c>
      <c r="C4" s="1" t="s">
        <v>200</v>
      </c>
      <c r="D4" s="1" t="s">
        <v>201</v>
      </c>
      <c r="E4" s="1" t="s">
        <v>85</v>
      </c>
      <c r="F4" s="1" t="s">
        <v>54</v>
      </c>
    </row>
    <row r="5" spans="1:6" ht="15">
      <c r="A5" s="2" t="s">
        <v>202</v>
      </c>
      <c r="B5" s="8">
        <f>COUNTIF('04_Employee_Master'!$T$5:$T$9,"Active")</f>
        <v>5</v>
      </c>
      <c r="C5" s="8">
        <f>COUNTA('08_Payroll_Calculator'!$A$5:$A$9)</f>
        <v>5</v>
      </c>
      <c r="D5" s="8">
        <f>B5-C5</f>
        <v>0</v>
      </c>
      <c r="E5" s="5" t="str">
        <f>IF(ABS(D5)&lt;0.01,"PASS","ERROR")</f>
        <v>PASS</v>
      </c>
      <c r="F5" s="2" t="s">
        <v>203</v>
      </c>
    </row>
    <row r="6" spans="1:6" ht="15">
      <c r="A6" s="2" t="s">
        <v>204</v>
      </c>
      <c r="B6" s="8">
        <f>SUM('08_Payroll_Calculator'!$I$5:$I$9)</f>
        <v>493730.76923076925</v>
      </c>
      <c r="C6" s="8">
        <f>SUM('08_Payroll_Calculator'!$D$5:$D$9)+SUM('08_Payroll_Calculator'!$E$5:$E$9)+SUM('08_Payroll_Calculator'!$F$5:$F$9)+SUM('08_Payroll_Calculator'!$G$5:$G$9)+SUM('08_Payroll_Calculator'!$H$5:$H$9)</f>
        <v>493730.76923076925</v>
      </c>
      <c r="D6" s="8">
        <f>B6-C6</f>
        <v>0</v>
      </c>
      <c r="E6" s="5" t="str">
        <f>IF(ABS(D6)&lt;0.01,"PASS","ERROR")</f>
        <v>PASS</v>
      </c>
      <c r="F6" s="2" t="s">
        <v>205</v>
      </c>
    </row>
    <row r="7" spans="1:6" ht="15">
      <c r="A7" s="2" t="s">
        <v>206</v>
      </c>
      <c r="B7" s="8">
        <f>SUM('08_Payroll_Calculator'!$R$5:$R$9)</f>
        <v>421579.56730769225</v>
      </c>
      <c r="C7" s="8">
        <f>SUM('08_Payroll_Calculator'!$I$5:$I$9)-SUM('08_Payroll_Calculator'!$Q$5:$Q$9)</f>
        <v>421579.56730769231</v>
      </c>
      <c r="D7" s="8">
        <f>B7-C7</f>
        <v>0</v>
      </c>
      <c r="E7" s="5" t="str">
        <f>IF(ABS(D7)&lt;0.01,"PASS","ERROR")</f>
        <v>PASS</v>
      </c>
      <c r="F7" s="2" t="s">
        <v>207</v>
      </c>
    </row>
    <row r="8" spans="1:6" ht="15">
      <c r="A8" s="2" t="s">
        <v>208</v>
      </c>
      <c r="B8" s="8">
        <f>SUM('12_Department_Analysis'!$C$5:$C$9)</f>
        <v>493730.76923076925</v>
      </c>
      <c r="C8" s="8">
        <f>SUM('10_Payroll_Register'!$D$5:$D$9)</f>
        <v>493730.76923076925</v>
      </c>
      <c r="D8" s="8">
        <f>B8-C8</f>
        <v>0</v>
      </c>
      <c r="E8" s="5" t="str">
        <f>IF(ABS(D8)&lt;0.01,"PASS","ERROR")</f>
        <v>PASS</v>
      </c>
      <c r="F8" s="2" t="s">
        <v>209</v>
      </c>
    </row>
    <row r="9" spans="1:6" ht="15">
      <c r="A9" s="2" t="s">
        <v>210</v>
      </c>
      <c r="B9" s="8">
        <f>SUM('10_Payroll_Register'!$F$5:$F$9)</f>
        <v>421579.56730769225</v>
      </c>
      <c r="C9" s="8">
        <f>SUM('10_Payroll_Register'!$F$5:$F$9)</f>
        <v>421579.56730769225</v>
      </c>
      <c r="D9" s="8">
        <f>B9-C9</f>
        <v>0</v>
      </c>
      <c r="E9" s="5" t="str">
        <f>IF(ABS(D9)&lt;0.01,"PASS","ERROR")</f>
        <v>PASS</v>
      </c>
      <c r="F9" s="2" t="s">
        <v>211</v>
      </c>
    </row>
  </sheetData>
  <mergeCells count="1">
    <mergeCell ref="A1:F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10"/>
  <sheetViews>
    <sheetView showGridLines="0" workbookViewId="0"/>
  </sheetViews>
  <sheetFormatPr defaultRowHeight="14.25"/>
  <cols>
    <col min="1" max="6" width="20" customWidth="1"/>
  </cols>
  <sheetData>
    <row r="1" spans="1:6" ht="30" customHeight="1">
      <c r="A1" s="13" t="s">
        <v>212</v>
      </c>
      <c r="B1" s="15"/>
      <c r="C1" s="15"/>
      <c r="D1" s="15"/>
      <c r="E1" s="15"/>
      <c r="F1" s="15"/>
    </row>
    <row r="2" spans="1:6">
      <c r="A2" s="2"/>
    </row>
    <row r="3" spans="1:6">
      <c r="A3" s="2"/>
    </row>
    <row r="4" spans="1:6" ht="180" customHeight="1">
      <c r="A4" s="20" t="s">
        <v>213</v>
      </c>
      <c r="B4" s="15"/>
      <c r="C4" s="15"/>
      <c r="D4" s="15"/>
      <c r="E4" s="15"/>
      <c r="F4" s="15"/>
    </row>
    <row r="5" spans="1:6">
      <c r="A5" s="15"/>
      <c r="B5" s="15"/>
      <c r="C5" s="15"/>
      <c r="D5" s="15"/>
      <c r="E5" s="15"/>
      <c r="F5" s="15"/>
    </row>
    <row r="6" spans="1:6">
      <c r="A6" s="15"/>
      <c r="B6" s="15"/>
      <c r="C6" s="15"/>
      <c r="D6" s="15"/>
      <c r="E6" s="15"/>
      <c r="F6" s="15"/>
    </row>
    <row r="7" spans="1:6">
      <c r="A7" s="15"/>
      <c r="B7" s="15"/>
      <c r="C7" s="15"/>
      <c r="D7" s="15"/>
      <c r="E7" s="15"/>
      <c r="F7" s="15"/>
    </row>
    <row r="8" spans="1:6">
      <c r="A8" s="15"/>
      <c r="B8" s="15"/>
      <c r="C8" s="15"/>
      <c r="D8" s="15"/>
      <c r="E8" s="15"/>
      <c r="F8" s="15"/>
    </row>
    <row r="9" spans="1:6">
      <c r="A9" s="15"/>
      <c r="B9" s="15"/>
      <c r="C9" s="15"/>
      <c r="D9" s="15"/>
      <c r="E9" s="15"/>
      <c r="F9" s="15"/>
    </row>
    <row r="10" spans="1:6">
      <c r="A10" s="15"/>
      <c r="B10" s="15"/>
      <c r="C10" s="15"/>
      <c r="D10" s="15"/>
      <c r="E10" s="15"/>
      <c r="F10" s="15"/>
    </row>
  </sheetData>
  <mergeCells count="2">
    <mergeCell ref="A1:F1"/>
    <mergeCell ref="A4:F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01_Cover</vt:lpstr>
      <vt:lpstr>02_Dashboard</vt:lpstr>
      <vt:lpstr>03_Control_Settings</vt:lpstr>
      <vt:lpstr>04_Employee_Master</vt:lpstr>
      <vt:lpstr>05_Salary_Structure</vt:lpstr>
      <vt:lpstr>06_Attendance_Leave</vt:lpstr>
      <vt:lpstr>07_Overtime</vt:lpstr>
      <vt:lpstr>08_Payroll_Calculator</vt:lpstr>
      <vt:lpstr>09_Statutory_Tax</vt:lpstr>
      <vt:lpstr>10_Payroll_Register</vt:lpstr>
      <vt:lpstr>11_Salary_Slip</vt:lpstr>
      <vt:lpstr>12_Department_Analysis</vt:lpstr>
      <vt:lpstr>13_Payroll_Variance</vt:lpstr>
      <vt:lpstr>14_Employee_Cost</vt:lpstr>
      <vt:lpstr>15_Loan_Advance</vt:lpstr>
      <vt:lpstr>16_Bonus_Incentive</vt:lpstr>
      <vt:lpstr>17_Full_Final</vt:lpstr>
      <vt:lpstr>18_Reconciliation</vt:lpstr>
      <vt:lpstr>19_Notes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Shivam THAKUR</cp:lastModifiedBy>
  <dcterms:modified xsi:type="dcterms:W3CDTF">2026-08-13T18:08:56Z</dcterms:modified>
</cp:coreProperties>
</file>