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88ed3192b30c47d9/"/>
    </mc:Choice>
  </mc:AlternateContent>
  <xr:revisionPtr revIDLastSave="1238" documentId="8_{294FFD38-D5A1-4EBB-9454-00DEC1F48609}" xr6:coauthVersionLast="47" xr6:coauthVersionMax="47" xr10:uidLastSave="{AA6F7FC4-9481-4D5A-8650-4F27A5131927}"/>
  <bookViews>
    <workbookView xWindow="-120" yWindow="-120" windowWidth="29040" windowHeight="16440" activeTab="3" xr2:uid="{0D2D4664-CA14-480F-89FE-798765653A15}"/>
  </bookViews>
  <sheets>
    <sheet name="Settings" sheetId="1" r:id="rId1"/>
    <sheet name="client" sheetId="2" r:id="rId2"/>
    <sheet name="Services" sheetId="3" r:id="rId3"/>
    <sheet name="Invoice" sheetId="4" r:id="rId4"/>
    <sheet name="Invoice_tracker" sheetId="7" r:id="rId5"/>
    <sheet name="Dashboard" sheetId="6" r:id="rId6"/>
  </sheets>
  <definedNames>
    <definedName name="Slicer_Months__Date">#N/A</definedName>
    <definedName name="TblServices">#REF!</definedName>
  </definedNames>
  <calcPr calcId="191029"/>
  <pivotCaches>
    <pivotCache cacheId="7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4" l="1"/>
  <c r="P29"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2" i="7"/>
  <c r="E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2"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C3" i="7"/>
  <c r="C4" i="7"/>
  <c r="C5" i="7"/>
  <c r="C2" i="7"/>
  <c r="A3" i="7"/>
  <c r="A4" i="7"/>
  <c r="A5" i="7"/>
  <c r="A2" i="7"/>
  <c r="C12" i="4"/>
  <c r="C14" i="4" s="1"/>
  <c r="F18" i="4"/>
  <c r="B19" i="4"/>
  <c r="B18" i="4"/>
  <c r="E18" i="4"/>
  <c r="C15" i="4"/>
  <c r="H7" i="4"/>
  <c r="H5" i="4"/>
  <c r="C8" i="4"/>
  <c r="C7" i="4"/>
  <c r="C6" i="4"/>
  <c r="C5" i="4"/>
  <c r="G18" i="4" l="1"/>
  <c r="H31" i="4" s="1"/>
  <c r="H30" i="4"/>
  <c r="H18" i="4" l="1"/>
  <c r="H33" i="4"/>
</calcChain>
</file>

<file path=xl/sharedStrings.xml><?xml version="1.0" encoding="utf-8"?>
<sst xmlns="http://schemas.openxmlformats.org/spreadsheetml/2006/main" count="3334" uniqueCount="2491">
  <si>
    <t>Company Name</t>
  </si>
  <si>
    <t>Owner Name</t>
  </si>
  <si>
    <t>Phone</t>
  </si>
  <si>
    <t>Email</t>
  </si>
  <si>
    <t>Website</t>
  </si>
  <si>
    <t>GST Number</t>
  </si>
  <si>
    <t>Address</t>
  </si>
  <si>
    <t>Bank Name</t>
  </si>
  <si>
    <t>Account Name</t>
  </si>
  <si>
    <t>IFSC</t>
  </si>
  <si>
    <t>UPI</t>
  </si>
  <si>
    <t>Currency</t>
  </si>
  <si>
    <t>Tax Rate</t>
  </si>
  <si>
    <t>Invoice Prefix</t>
  </si>
  <si>
    <t>Shivam Analytics</t>
  </si>
  <si>
    <t>shivamthakur32008@gmail.com</t>
  </si>
  <si>
    <t>Shivam Thakur</t>
  </si>
  <si>
    <t>INV</t>
  </si>
  <si>
    <t>Client Name</t>
  </si>
  <si>
    <t>Client ID</t>
  </si>
  <si>
    <t>Service ID</t>
  </si>
  <si>
    <t>Service</t>
  </si>
  <si>
    <t>Category</t>
  </si>
  <si>
    <t>Unit Price</t>
  </si>
  <si>
    <t>Automation</t>
  </si>
  <si>
    <t>Dashboard</t>
  </si>
  <si>
    <t>Finance</t>
  </si>
  <si>
    <t>Financial Model</t>
  </si>
  <si>
    <t>Company Settings</t>
  </si>
  <si>
    <t>Expense Tracker</t>
  </si>
  <si>
    <t>Sales Dashboard</t>
  </si>
  <si>
    <t>Excel</t>
  </si>
  <si>
    <t>Inventory</t>
  </si>
  <si>
    <t>YOUR COMPANY LOGO</t>
  </si>
  <si>
    <t>INVOICE</t>
  </si>
  <si>
    <t>Invoice No</t>
  </si>
  <si>
    <t>Date</t>
  </si>
  <si>
    <t>Due Date</t>
  </si>
  <si>
    <t xml:space="preserve">Bill to </t>
  </si>
  <si>
    <t>Sr</t>
  </si>
  <si>
    <t>Description</t>
  </si>
  <si>
    <t>Tax %</t>
  </si>
  <si>
    <t>Tax</t>
  </si>
  <si>
    <t>Total</t>
  </si>
  <si>
    <t>Notes</t>
  </si>
  <si>
    <t>Sub Total</t>
  </si>
  <si>
    <t>Discount</t>
  </si>
  <si>
    <t>Grand Total</t>
  </si>
  <si>
    <t>Payment Details</t>
  </si>
  <si>
    <t>Bank:</t>
  </si>
  <si>
    <t xml:space="preserve">Account : </t>
  </si>
  <si>
    <t xml:space="preserve">IFSC : </t>
  </si>
  <si>
    <t>UPI :</t>
  </si>
  <si>
    <t>SHIMLA</t>
  </si>
  <si>
    <t>Gst</t>
  </si>
  <si>
    <t>Qty</t>
  </si>
  <si>
    <t>Company Name :</t>
  </si>
  <si>
    <t>Address :</t>
  </si>
  <si>
    <t>Phone :</t>
  </si>
  <si>
    <t>Email :</t>
  </si>
  <si>
    <t>Status</t>
  </si>
  <si>
    <t>Cancelled</t>
  </si>
  <si>
    <t>Contact Person</t>
  </si>
  <si>
    <t>C0001</t>
  </si>
  <si>
    <t>C0002</t>
  </si>
  <si>
    <t>C0003</t>
  </si>
  <si>
    <t>Ankit Singh</t>
  </si>
  <si>
    <t>C0004</t>
  </si>
  <si>
    <t>Suresh Verma</t>
  </si>
  <si>
    <t>C0005</t>
  </si>
  <si>
    <t>C0006</t>
  </si>
  <si>
    <t>Vikas Reddy</t>
  </si>
  <si>
    <t>C0007</t>
  </si>
  <si>
    <t>Rohit Jain</t>
  </si>
  <si>
    <t>C0008</t>
  </si>
  <si>
    <t>Vikas Gupta</t>
  </si>
  <si>
    <t>277, Jaipur, RJ</t>
  </si>
  <si>
    <t>C0009</t>
  </si>
  <si>
    <t>Rahul Reddy</t>
  </si>
  <si>
    <t>C0010</t>
  </si>
  <si>
    <t>Arjun Mehta</t>
  </si>
  <si>
    <t>C0011</t>
  </si>
  <si>
    <t>Pooja Mishra</t>
  </si>
  <si>
    <t>C0012</t>
  </si>
  <si>
    <t>Priya Reddy</t>
  </si>
  <si>
    <t>157, Delhi, DL</t>
  </si>
  <si>
    <t>C0013</t>
  </si>
  <si>
    <t>C0014</t>
  </si>
  <si>
    <t>C0015</t>
  </si>
  <si>
    <t>C0016</t>
  </si>
  <si>
    <t>Sneha Joshi</t>
  </si>
  <si>
    <t>C0017</t>
  </si>
  <si>
    <t>C0018</t>
  </si>
  <si>
    <t>Karan Gupta</t>
  </si>
  <si>
    <t>C0019</t>
  </si>
  <si>
    <t>C0020</t>
  </si>
  <si>
    <t>Sneha Kapoor</t>
  </si>
  <si>
    <t>sneha.kapoor@crystal.in</t>
  </si>
  <si>
    <t>C0021</t>
  </si>
  <si>
    <t>Ankit Patel</t>
  </si>
  <si>
    <t>C0022</t>
  </si>
  <si>
    <t>C0023</t>
  </si>
  <si>
    <t>Arjun Patel</t>
  </si>
  <si>
    <t>C0024</t>
  </si>
  <si>
    <t>Deepak Mehta</t>
  </si>
  <si>
    <t>56, Kolkata, WB</t>
  </si>
  <si>
    <t>C0025</t>
  </si>
  <si>
    <t>Vikas Patel</t>
  </si>
  <si>
    <t>C0026</t>
  </si>
  <si>
    <t>C0027</t>
  </si>
  <si>
    <t>Deepak Kapoor</t>
  </si>
  <si>
    <t>C0028</t>
  </si>
  <si>
    <t>Pooja Joshi</t>
  </si>
  <si>
    <t>C0029</t>
  </si>
  <si>
    <t>Rahul Yadav</t>
  </si>
  <si>
    <t>C0030</t>
  </si>
  <si>
    <t>C0031</t>
  </si>
  <si>
    <t>C0032</t>
  </si>
  <si>
    <t>Sneha Jain</t>
  </si>
  <si>
    <t>sneha.jain@crystal.in</t>
  </si>
  <si>
    <t>C0033</t>
  </si>
  <si>
    <t>Riya Jain</t>
  </si>
  <si>
    <t>C0034</t>
  </si>
  <si>
    <t>C0035</t>
  </si>
  <si>
    <t>C0036</t>
  </si>
  <si>
    <t>C0037</t>
  </si>
  <si>
    <t>Anjali Bansal</t>
  </si>
  <si>
    <t>C0038</t>
  </si>
  <si>
    <t>Rahul Sharma</t>
  </si>
  <si>
    <t>C0039</t>
  </si>
  <si>
    <t>C0040</t>
  </si>
  <si>
    <t>C0041</t>
  </si>
  <si>
    <t>Vikas Bansal</t>
  </si>
  <si>
    <t>C0042</t>
  </si>
  <si>
    <t>C0043</t>
  </si>
  <si>
    <t>Vikas Singh</t>
  </si>
  <si>
    <t>C0044</t>
  </si>
  <si>
    <t>Meera Singh</t>
  </si>
  <si>
    <t>C0045</t>
  </si>
  <si>
    <t>Pooja Jain</t>
  </si>
  <si>
    <t>C0046</t>
  </si>
  <si>
    <t>C0047</t>
  </si>
  <si>
    <t>Neha Mehta</t>
  </si>
  <si>
    <t>C0048</t>
  </si>
  <si>
    <t>Meera Mehta</t>
  </si>
  <si>
    <t>C0049</t>
  </si>
  <si>
    <t>C0050</t>
  </si>
  <si>
    <t>C0051</t>
  </si>
  <si>
    <t>Divya Bansal</t>
  </si>
  <si>
    <t>C0052</t>
  </si>
  <si>
    <t>C0053</t>
  </si>
  <si>
    <t>C0054</t>
  </si>
  <si>
    <t>Future Energy Solutions</t>
  </si>
  <si>
    <t>Akash Kapoor</t>
  </si>
  <si>
    <t>akash.kapoor@future.in</t>
  </si>
  <si>
    <t>C0055</t>
  </si>
  <si>
    <t>Riya Sharma</t>
  </si>
  <si>
    <t>C0056</t>
  </si>
  <si>
    <t>Varun Yadav</t>
  </si>
  <si>
    <t>C0057</t>
  </si>
  <si>
    <t>C0058</t>
  </si>
  <si>
    <t>Riya Verma</t>
  </si>
  <si>
    <t>C0059</t>
  </si>
  <si>
    <t>C0060</t>
  </si>
  <si>
    <t>Varun Kapoor</t>
  </si>
  <si>
    <t>C0061</t>
  </si>
  <si>
    <t>C0062</t>
  </si>
  <si>
    <t>C0063</t>
  </si>
  <si>
    <t>Riya Joshi</t>
  </si>
  <si>
    <t>C0064</t>
  </si>
  <si>
    <t>Deepak Gupta</t>
  </si>
  <si>
    <t>C0065</t>
  </si>
  <si>
    <t>Suresh Reddy</t>
  </si>
  <si>
    <t>C0066</t>
  </si>
  <si>
    <t>Rahul Jain</t>
  </si>
  <si>
    <t>rahul.jain@smart.in</t>
  </si>
  <si>
    <t>71, Surat, GJ</t>
  </si>
  <si>
    <t>C0067</t>
  </si>
  <si>
    <t>Karan Patel</t>
  </si>
  <si>
    <t>C0068</t>
  </si>
  <si>
    <t>C0069</t>
  </si>
  <si>
    <t>C0070</t>
  </si>
  <si>
    <t>Nitin Nair</t>
  </si>
  <si>
    <t>C0071</t>
  </si>
  <si>
    <t>C0072</t>
  </si>
  <si>
    <t>Karan Mehta</t>
  </si>
  <si>
    <t>C0073</t>
  </si>
  <si>
    <t>C0074</t>
  </si>
  <si>
    <t>Suresh Sharma</t>
  </si>
  <si>
    <t>C0075</t>
  </si>
  <si>
    <t>pooja.joshi@rapid.in</t>
  </si>
  <si>
    <t>C0076</t>
  </si>
  <si>
    <t>C0077</t>
  </si>
  <si>
    <t>Nitin Patel</t>
  </si>
  <si>
    <t>C0078</t>
  </si>
  <si>
    <t>C0079</t>
  </si>
  <si>
    <t>C0080</t>
  </si>
  <si>
    <t>Ankit Reddy</t>
  </si>
  <si>
    <t>C0081</t>
  </si>
  <si>
    <t>C0082</t>
  </si>
  <si>
    <t>Arjun Verma</t>
  </si>
  <si>
    <t>C0083</t>
  </si>
  <si>
    <t>Pooja Nair</t>
  </si>
  <si>
    <t>C0084</t>
  </si>
  <si>
    <t>C0085</t>
  </si>
  <si>
    <t>C0086</t>
  </si>
  <si>
    <t>Nexus Services Technologies</t>
  </si>
  <si>
    <t>Ankit Mehta</t>
  </si>
  <si>
    <t>C0087</t>
  </si>
  <si>
    <t>Priya Gupta</t>
  </si>
  <si>
    <t>C0088</t>
  </si>
  <si>
    <t>Arjun Singh</t>
  </si>
  <si>
    <t>C0089</t>
  </si>
  <si>
    <t>C0090</t>
  </si>
  <si>
    <t>Summit Enterprises Technologies</t>
  </si>
  <si>
    <t>C0091</t>
  </si>
  <si>
    <t>Akash Singh</t>
  </si>
  <si>
    <t>C0092</t>
  </si>
  <si>
    <t>Divya Singh</t>
  </si>
  <si>
    <t>C0093</t>
  </si>
  <si>
    <t>Arjun Agarwal</t>
  </si>
  <si>
    <t>C0094</t>
  </si>
  <si>
    <t>C0095</t>
  </si>
  <si>
    <t>Akash Nair</t>
  </si>
  <si>
    <t>C0096</t>
  </si>
  <si>
    <t>C0097</t>
  </si>
  <si>
    <t>Meera Yadav</t>
  </si>
  <si>
    <t>C0098</t>
  </si>
  <si>
    <t>Nitin Kapoor</t>
  </si>
  <si>
    <t>C0099</t>
  </si>
  <si>
    <t>Varun Mehta</t>
  </si>
  <si>
    <t>C0100</t>
  </si>
  <si>
    <t>C0101</t>
  </si>
  <si>
    <t>Akash Patel</t>
  </si>
  <si>
    <t>C0102</t>
  </si>
  <si>
    <t>Sneha Singh</t>
  </si>
  <si>
    <t>C0103</t>
  </si>
  <si>
    <t>Meera Jain</t>
  </si>
  <si>
    <t>C0104</t>
  </si>
  <si>
    <t>C0105</t>
  </si>
  <si>
    <t>Rahul Gupta</t>
  </si>
  <si>
    <t>C0106</t>
  </si>
  <si>
    <t>C0107</t>
  </si>
  <si>
    <t>C0108</t>
  </si>
  <si>
    <t>C0109</t>
  </si>
  <si>
    <t>C0110</t>
  </si>
  <si>
    <t>C0111</t>
  </si>
  <si>
    <t>C0112</t>
  </si>
  <si>
    <t>Pooja Bansal</t>
  </si>
  <si>
    <t>C0113</t>
  </si>
  <si>
    <t>707, Jaipur, RJ</t>
  </si>
  <si>
    <t>C0114</t>
  </si>
  <si>
    <t>C0115</t>
  </si>
  <si>
    <t>C0116</t>
  </si>
  <si>
    <t>C0117</t>
  </si>
  <si>
    <t>C0118</t>
  </si>
  <si>
    <t>C0119</t>
  </si>
  <si>
    <t>C0120</t>
  </si>
  <si>
    <t>Vikas Nair</t>
  </si>
  <si>
    <t>vikas.nair@royal.in</t>
  </si>
  <si>
    <t>C0121</t>
  </si>
  <si>
    <t>Pooja Agarwal</t>
  </si>
  <si>
    <t>C0122</t>
  </si>
  <si>
    <t>C0123</t>
  </si>
  <si>
    <t>C0124</t>
  </si>
  <si>
    <t>C0125</t>
  </si>
  <si>
    <t>Metro Enterprises Group</t>
  </si>
  <si>
    <t>C0126</t>
  </si>
  <si>
    <t>C0127</t>
  </si>
  <si>
    <t>Anjali Verma</t>
  </si>
  <si>
    <t>C0128</t>
  </si>
  <si>
    <t>C0129</t>
  </si>
  <si>
    <t>C0130</t>
  </si>
  <si>
    <t>Amit Gupta</t>
  </si>
  <si>
    <t>C0131</t>
  </si>
  <si>
    <t>Karan Mishra</t>
  </si>
  <si>
    <t>C0132</t>
  </si>
  <si>
    <t>C0133</t>
  </si>
  <si>
    <t>Arjun Nair</t>
  </si>
  <si>
    <t>C0134</t>
  </si>
  <si>
    <t>Divya Gupta</t>
  </si>
  <si>
    <t>C0135</t>
  </si>
  <si>
    <t>Riya Agarwal</t>
  </si>
  <si>
    <t>C0136</t>
  </si>
  <si>
    <t>C0137</t>
  </si>
  <si>
    <t>C0138</t>
  </si>
  <si>
    <t>Varun Sharma</t>
  </si>
  <si>
    <t>C0139</t>
  </si>
  <si>
    <t>C0140</t>
  </si>
  <si>
    <t>Neha Jain</t>
  </si>
  <si>
    <t>C0141</t>
  </si>
  <si>
    <t>C0142</t>
  </si>
  <si>
    <t>C0143</t>
  </si>
  <si>
    <t>C0144</t>
  </si>
  <si>
    <t>Divya Verma</t>
  </si>
  <si>
    <t>C0145</t>
  </si>
  <si>
    <t>C0146</t>
  </si>
  <si>
    <t>Ankit Kapoor</t>
  </si>
  <si>
    <t>C0147</t>
  </si>
  <si>
    <t>C0148</t>
  </si>
  <si>
    <t>C0149</t>
  </si>
  <si>
    <t>C0150</t>
  </si>
  <si>
    <t>Deepak Yadav</t>
  </si>
  <si>
    <t>C0151</t>
  </si>
  <si>
    <t>C0152</t>
  </si>
  <si>
    <t>C0153</t>
  </si>
  <si>
    <t>C0154</t>
  </si>
  <si>
    <t>C0155</t>
  </si>
  <si>
    <t>C0156</t>
  </si>
  <si>
    <t>Arjun Kapoor</t>
  </si>
  <si>
    <t>C0157</t>
  </si>
  <si>
    <t>C0158</t>
  </si>
  <si>
    <t>C0159</t>
  </si>
  <si>
    <t>C0160</t>
  </si>
  <si>
    <t>Sneha Bansal</t>
  </si>
  <si>
    <t>C0161</t>
  </si>
  <si>
    <t>C0162</t>
  </si>
  <si>
    <t>Varun Bansal</t>
  </si>
  <si>
    <t>259, Pune, MH</t>
  </si>
  <si>
    <t>C0163</t>
  </si>
  <si>
    <t>C0164</t>
  </si>
  <si>
    <t>C0165</t>
  </si>
  <si>
    <t>C0166</t>
  </si>
  <si>
    <t>C0167</t>
  </si>
  <si>
    <t>Karan Yadav</t>
  </si>
  <si>
    <t>C0168</t>
  </si>
  <si>
    <t>C0169</t>
  </si>
  <si>
    <t>C0170</t>
  </si>
  <si>
    <t>C0171</t>
  </si>
  <si>
    <t>C0172</t>
  </si>
  <si>
    <t>C0173</t>
  </si>
  <si>
    <t>C0174</t>
  </si>
  <si>
    <t>C0175</t>
  </si>
  <si>
    <t>C0176</t>
  </si>
  <si>
    <t>C0177</t>
  </si>
  <si>
    <t>Arjun Yadav</t>
  </si>
  <si>
    <t>C0178</t>
  </si>
  <si>
    <t>Divya Jain</t>
  </si>
  <si>
    <t>C0179</t>
  </si>
  <si>
    <t>C0180</t>
  </si>
  <si>
    <t>C0181</t>
  </si>
  <si>
    <t>Suresh Gupta</t>
  </si>
  <si>
    <t>C0182</t>
  </si>
  <si>
    <t>C0183</t>
  </si>
  <si>
    <t>C0184</t>
  </si>
  <si>
    <t>C0185</t>
  </si>
  <si>
    <t>Akash Mishra</t>
  </si>
  <si>
    <t>C0186</t>
  </si>
  <si>
    <t>Priya Mishra</t>
  </si>
  <si>
    <t>C0187</t>
  </si>
  <si>
    <t>C0188</t>
  </si>
  <si>
    <t>C0189</t>
  </si>
  <si>
    <t>C0190</t>
  </si>
  <si>
    <t>C0191</t>
  </si>
  <si>
    <t>Ankit Gupta</t>
  </si>
  <si>
    <t>C0192</t>
  </si>
  <si>
    <t>C0193</t>
  </si>
  <si>
    <t>C0194</t>
  </si>
  <si>
    <t>C0195</t>
  </si>
  <si>
    <t>C0196</t>
  </si>
  <si>
    <t>Meera Agarwal</t>
  </si>
  <si>
    <t>C0197</t>
  </si>
  <si>
    <t>C0198</t>
  </si>
  <si>
    <t>C0199</t>
  </si>
  <si>
    <t>C0200</t>
  </si>
  <si>
    <t>C0201</t>
  </si>
  <si>
    <t>C0202</t>
  </si>
  <si>
    <t>C0203</t>
  </si>
  <si>
    <t>Prime Solutions Enterprises</t>
  </si>
  <si>
    <t>C0204</t>
  </si>
  <si>
    <t>C0205</t>
  </si>
  <si>
    <t>C0206</t>
  </si>
  <si>
    <t>Akash Gupta</t>
  </si>
  <si>
    <t>akash.gupta@infinity.in</t>
  </si>
  <si>
    <t>C0207</t>
  </si>
  <si>
    <t>C0208</t>
  </si>
  <si>
    <t>C0209</t>
  </si>
  <si>
    <t>C0210</t>
  </si>
  <si>
    <t>Anjali Yadav</t>
  </si>
  <si>
    <t>C0211</t>
  </si>
  <si>
    <t>C0212</t>
  </si>
  <si>
    <t>C0213</t>
  </si>
  <si>
    <t>Varun Singh</t>
  </si>
  <si>
    <t>C0214</t>
  </si>
  <si>
    <t>Varun Jain</t>
  </si>
  <si>
    <t>varun.jain@golden.in</t>
  </si>
  <si>
    <t>C0215</t>
  </si>
  <si>
    <t>Nova Solutions Pvt Ltd</t>
  </si>
  <si>
    <t>karan.mishra@nova.in</t>
  </si>
  <si>
    <t>532, Lucknow, UP</t>
  </si>
  <si>
    <t>C0216</t>
  </si>
  <si>
    <t>C0217</t>
  </si>
  <si>
    <t>C0218</t>
  </si>
  <si>
    <t>C0219</t>
  </si>
  <si>
    <t>Vikas Mishra</t>
  </si>
  <si>
    <t>C0220</t>
  </si>
  <si>
    <t>C0221</t>
  </si>
  <si>
    <t>Sneha Reddy</t>
  </si>
  <si>
    <t>C0222</t>
  </si>
  <si>
    <t>C0223</t>
  </si>
  <si>
    <t>Pooja Yadav</t>
  </si>
  <si>
    <t>C0224</t>
  </si>
  <si>
    <t>Nitin Mishra</t>
  </si>
  <si>
    <t>C0225</t>
  </si>
  <si>
    <t>C0226</t>
  </si>
  <si>
    <t>Rahul Singh</t>
  </si>
  <si>
    <t>C0227</t>
  </si>
  <si>
    <t>C0228</t>
  </si>
  <si>
    <t>C0229</t>
  </si>
  <si>
    <t>Neha Bansal</t>
  </si>
  <si>
    <t>C0230</t>
  </si>
  <si>
    <t>Anjali Reddy</t>
  </si>
  <si>
    <t>C0231</t>
  </si>
  <si>
    <t>Rohit Mehta</t>
  </si>
  <si>
    <t>C0232</t>
  </si>
  <si>
    <t>Amit Singh</t>
  </si>
  <si>
    <t>C0233</t>
  </si>
  <si>
    <t>Arjun Joshi</t>
  </si>
  <si>
    <t>C0234</t>
  </si>
  <si>
    <t>C0235</t>
  </si>
  <si>
    <t>C0236</t>
  </si>
  <si>
    <t>Rohit Gupta</t>
  </si>
  <si>
    <t>C0237</t>
  </si>
  <si>
    <t>C0238</t>
  </si>
  <si>
    <t>C0239</t>
  </si>
  <si>
    <t>Nitin Jain</t>
  </si>
  <si>
    <t>nitin.jain@nexus.in</t>
  </si>
  <si>
    <t>C0240</t>
  </si>
  <si>
    <t>C0241</t>
  </si>
  <si>
    <t>C0242</t>
  </si>
  <si>
    <t>C0243</t>
  </si>
  <si>
    <t>C0244</t>
  </si>
  <si>
    <t>C0245</t>
  </si>
  <si>
    <t>C0246</t>
  </si>
  <si>
    <t>C0247</t>
  </si>
  <si>
    <t>Akash Mehta</t>
  </si>
  <si>
    <t>988, Surat, GJ</t>
  </si>
  <si>
    <t>C0248</t>
  </si>
  <si>
    <t>Akash Agarwal</t>
  </si>
  <si>
    <t>C0249</t>
  </si>
  <si>
    <t>C0250</t>
  </si>
  <si>
    <t>C0251</t>
  </si>
  <si>
    <t>C0252</t>
  </si>
  <si>
    <t>Varun Patel</t>
  </si>
  <si>
    <t>C0253</t>
  </si>
  <si>
    <t>Ankit Yadav</t>
  </si>
  <si>
    <t>C0254</t>
  </si>
  <si>
    <t>Vikas Mehta</t>
  </si>
  <si>
    <t>C0255</t>
  </si>
  <si>
    <t>Meera Bansal</t>
  </si>
  <si>
    <t>805, Jaipur, RJ</t>
  </si>
  <si>
    <t>C0256</t>
  </si>
  <si>
    <t>C0257</t>
  </si>
  <si>
    <t>C0258</t>
  </si>
  <si>
    <t>C0259</t>
  </si>
  <si>
    <t>Pooja Mehta</t>
  </si>
  <si>
    <t>pooja.mehta@metro.in</t>
  </si>
  <si>
    <t>C0260</t>
  </si>
  <si>
    <t>C0261</t>
  </si>
  <si>
    <t>C0262</t>
  </si>
  <si>
    <t>Green Logistics Group</t>
  </si>
  <si>
    <t>316, Ahmedabad, GJ</t>
  </si>
  <si>
    <t>C0263</t>
  </si>
  <si>
    <t>C0264</t>
  </si>
  <si>
    <t>Ankit Nair</t>
  </si>
  <si>
    <t>C0265</t>
  </si>
  <si>
    <t>338, Hyderabad, TS</t>
  </si>
  <si>
    <t>C0266</t>
  </si>
  <si>
    <t>varun.bansal@vision.in</t>
  </si>
  <si>
    <t>C0267</t>
  </si>
  <si>
    <t>189, Lucknow, UP</t>
  </si>
  <si>
    <t>C0268</t>
  </si>
  <si>
    <t>Amit Mehta</t>
  </si>
  <si>
    <t>C0269</t>
  </si>
  <si>
    <t>C0270</t>
  </si>
  <si>
    <t>Deepak Sharma</t>
  </si>
  <si>
    <t>C0271</t>
  </si>
  <si>
    <t>Rohit Verma</t>
  </si>
  <si>
    <t>C0272</t>
  </si>
  <si>
    <t>Pooja Reddy</t>
  </si>
  <si>
    <t>C0273</t>
  </si>
  <si>
    <t>Priya Bansal</t>
  </si>
  <si>
    <t>C0274</t>
  </si>
  <si>
    <t>C0275</t>
  </si>
  <si>
    <t>C0276</t>
  </si>
  <si>
    <t>C0277</t>
  </si>
  <si>
    <t>Priya Singh</t>
  </si>
  <si>
    <t>C0278</t>
  </si>
  <si>
    <t>C0279</t>
  </si>
  <si>
    <t>Akash Reddy</t>
  </si>
  <si>
    <t>C0280</t>
  </si>
  <si>
    <t>C0281</t>
  </si>
  <si>
    <t>C0282</t>
  </si>
  <si>
    <t>C0283</t>
  </si>
  <si>
    <t>C0284</t>
  </si>
  <si>
    <t>C0285</t>
  </si>
  <si>
    <t>Varun Joshi</t>
  </si>
  <si>
    <t>C0286</t>
  </si>
  <si>
    <t>C0287</t>
  </si>
  <si>
    <t>C0288</t>
  </si>
  <si>
    <t>C0289</t>
  </si>
  <si>
    <t>C0290</t>
  </si>
  <si>
    <t>C0291</t>
  </si>
  <si>
    <t>C0292</t>
  </si>
  <si>
    <t>C0293</t>
  </si>
  <si>
    <t>C0294</t>
  </si>
  <si>
    <t>C0295</t>
  </si>
  <si>
    <t>C0296</t>
  </si>
  <si>
    <t>suresh.reddy@nova.in</t>
  </si>
  <si>
    <t>C0297</t>
  </si>
  <si>
    <t>Ankit Mishra</t>
  </si>
  <si>
    <t>C0298</t>
  </si>
  <si>
    <t>C0299</t>
  </si>
  <si>
    <t>C0300</t>
  </si>
  <si>
    <t>C0301</t>
  </si>
  <si>
    <t>C0302</t>
  </si>
  <si>
    <t>Rohit Bansal</t>
  </si>
  <si>
    <t>C0303</t>
  </si>
  <si>
    <t>Amit Mishra</t>
  </si>
  <si>
    <t>C0304</t>
  </si>
  <si>
    <t>C0305</t>
  </si>
  <si>
    <t>C0306</t>
  </si>
  <si>
    <t>C0307</t>
  </si>
  <si>
    <t>C0308</t>
  </si>
  <si>
    <t>Rohit Kapoor</t>
  </si>
  <si>
    <t>C0309</t>
  </si>
  <si>
    <t>Arjun Gupta</t>
  </si>
  <si>
    <t>C0310</t>
  </si>
  <si>
    <t>C0311</t>
  </si>
  <si>
    <t>C0312</t>
  </si>
  <si>
    <t>C0313</t>
  </si>
  <si>
    <t>C0314</t>
  </si>
  <si>
    <t>C0315</t>
  </si>
  <si>
    <t>C0316</t>
  </si>
  <si>
    <t>C0317</t>
  </si>
  <si>
    <t>C0318</t>
  </si>
  <si>
    <t>C0319</t>
  </si>
  <si>
    <t>C0320</t>
  </si>
  <si>
    <t>C0321</t>
  </si>
  <si>
    <t>karan.yadav@green.in</t>
  </si>
  <si>
    <t>C0322</t>
  </si>
  <si>
    <t>Summit Services Pvt Ltd</t>
  </si>
  <si>
    <t>C0323</t>
  </si>
  <si>
    <t>C0324</t>
  </si>
  <si>
    <t>Akash Bansal</t>
  </si>
  <si>
    <t>C0325</t>
  </si>
  <si>
    <t>C0326</t>
  </si>
  <si>
    <t>C0327</t>
  </si>
  <si>
    <t>C0328</t>
  </si>
  <si>
    <t>C0329</t>
  </si>
  <si>
    <t>Riya Nair</t>
  </si>
  <si>
    <t>C0330</t>
  </si>
  <si>
    <t>C0331</t>
  </si>
  <si>
    <t>C0332</t>
  </si>
  <si>
    <t>C0333</t>
  </si>
  <si>
    <t>C0334</t>
  </si>
  <si>
    <t>C0335</t>
  </si>
  <si>
    <t>C0336</t>
  </si>
  <si>
    <t>C0337</t>
  </si>
  <si>
    <t>C0338</t>
  </si>
  <si>
    <t>Golden Energy LLP</t>
  </si>
  <si>
    <t>C0339</t>
  </si>
  <si>
    <t>Riya Yadav</t>
  </si>
  <si>
    <t>C0340</t>
  </si>
  <si>
    <t>C0341</t>
  </si>
  <si>
    <t>C0342</t>
  </si>
  <si>
    <t>377, Bengaluru, KA</t>
  </si>
  <si>
    <t>C0343</t>
  </si>
  <si>
    <t>vikas.mishra@orbit.in</t>
  </si>
  <si>
    <t>C0344</t>
  </si>
  <si>
    <t>karan.gupta@smart.in</t>
  </si>
  <si>
    <t>C0345</t>
  </si>
  <si>
    <t>C0346</t>
  </si>
  <si>
    <t>Rahul Mehta</t>
  </si>
  <si>
    <t>C0347</t>
  </si>
  <si>
    <t>Amit Jain</t>
  </si>
  <si>
    <t>C0348</t>
  </si>
  <si>
    <t>Anjali Mishra</t>
  </si>
  <si>
    <t>C0349</t>
  </si>
  <si>
    <t>C0350</t>
  </si>
  <si>
    <t>Arjun Sharma</t>
  </si>
  <si>
    <t>arjun.sharma@global.in</t>
  </si>
  <si>
    <t>C0351</t>
  </si>
  <si>
    <t>C0352</t>
  </si>
  <si>
    <t>C0353</t>
  </si>
  <si>
    <t>C0354</t>
  </si>
  <si>
    <t>C0355</t>
  </si>
  <si>
    <t>C0356</t>
  </si>
  <si>
    <t>C0357</t>
  </si>
  <si>
    <t>Golden Automation Pvt Ltd</t>
  </si>
  <si>
    <t>C0358</t>
  </si>
  <si>
    <t>C0359</t>
  </si>
  <si>
    <t>C0360</t>
  </si>
  <si>
    <t>C0361</t>
  </si>
  <si>
    <t>C0362</t>
  </si>
  <si>
    <t>C0363</t>
  </si>
  <si>
    <t>C0364</t>
  </si>
  <si>
    <t>Varun Reddy</t>
  </si>
  <si>
    <t>C0365</t>
  </si>
  <si>
    <t>C0366</t>
  </si>
  <si>
    <t>C0367</t>
  </si>
  <si>
    <t>Vikas Yadav</t>
  </si>
  <si>
    <t>C0368</t>
  </si>
  <si>
    <t>C0369</t>
  </si>
  <si>
    <t>Amit Agarwal</t>
  </si>
  <si>
    <t>C0370</t>
  </si>
  <si>
    <t>rahul.sharma@dynamic.in</t>
  </si>
  <si>
    <t>C0371</t>
  </si>
  <si>
    <t>Meera Mishra</t>
  </si>
  <si>
    <t>C0372</t>
  </si>
  <si>
    <t>C0373</t>
  </si>
  <si>
    <t>C0374</t>
  </si>
  <si>
    <t>C0375</t>
  </si>
  <si>
    <t>C0376</t>
  </si>
  <si>
    <t>C0377</t>
  </si>
  <si>
    <t>Rapid Traders Pvt Ltd</t>
  </si>
  <si>
    <t>C0378</t>
  </si>
  <si>
    <t>C0379</t>
  </si>
  <si>
    <t>C0380</t>
  </si>
  <si>
    <t>C0381</t>
  </si>
  <si>
    <t>C0382</t>
  </si>
  <si>
    <t>C0383</t>
  </si>
  <si>
    <t>C0384</t>
  </si>
  <si>
    <t>C0385</t>
  </si>
  <si>
    <t>Akash Jain</t>
  </si>
  <si>
    <t>C0386</t>
  </si>
  <si>
    <t>C0387</t>
  </si>
  <si>
    <t>C0388</t>
  </si>
  <si>
    <t>C0389</t>
  </si>
  <si>
    <t>Orbit Automation Enterprises</t>
  </si>
  <si>
    <t>C0390</t>
  </si>
  <si>
    <t>C0391</t>
  </si>
  <si>
    <t>C0392</t>
  </si>
  <si>
    <t>116, Jaipur, RJ</t>
  </si>
  <si>
    <t>C0393</t>
  </si>
  <si>
    <t>C0394</t>
  </si>
  <si>
    <t>C0395</t>
  </si>
  <si>
    <t>C0396</t>
  </si>
  <si>
    <t>C0397</t>
  </si>
  <si>
    <t>vikas.gupta@bright.in</t>
  </si>
  <si>
    <t>C0398</t>
  </si>
  <si>
    <t>C0399</t>
  </si>
  <si>
    <t>C0400</t>
  </si>
  <si>
    <t>Harsh Sharma</t>
  </si>
  <si>
    <t>harsh.sharma@summit.in</t>
  </si>
  <si>
    <t>106, Indore, MP</t>
  </si>
  <si>
    <t>24ABCDE1950F1Z8</t>
  </si>
  <si>
    <t>Future Solutions LLP</t>
  </si>
  <si>
    <t>deepak.mehta@future.in</t>
  </si>
  <si>
    <t>102, Hyderabad, TS</t>
  </si>
  <si>
    <t>36ABCDE7955F1Z0</t>
  </si>
  <si>
    <t>Zenith Retail Pvt Ltd</t>
  </si>
  <si>
    <t>ankit.yadav@zenith.in</t>
  </si>
  <si>
    <t>236, Mumbai, MH</t>
  </si>
  <si>
    <t>03ABCDE3181F1Z4</t>
  </si>
  <si>
    <t>Vision Enterprises Enterprises</t>
  </si>
  <si>
    <t>Neha Yadav</t>
  </si>
  <si>
    <t>neha.yadav@vision.in</t>
  </si>
  <si>
    <t>845, Indore, MP</t>
  </si>
  <si>
    <t>12ABCDE2688F1Z9</t>
  </si>
  <si>
    <t>Golden Digital LLP</t>
  </si>
  <si>
    <t>Varun Mishra</t>
  </si>
  <si>
    <t>varun.mishra@golden.in</t>
  </si>
  <si>
    <t>14ABCDE9133F1Z8</t>
  </si>
  <si>
    <t>Infinity Exports Works</t>
  </si>
  <si>
    <t>riya.yadav@infinity.in</t>
  </si>
  <si>
    <t>16ABCDE3945F1Z3</t>
  </si>
  <si>
    <t>Vertex Energy India</t>
  </si>
  <si>
    <t>sneha.kapoor@vertex.in</t>
  </si>
  <si>
    <t>469, Chennai, TN</t>
  </si>
  <si>
    <t>19ABCDE2199F1Z1</t>
  </si>
  <si>
    <t>Matrix Manufacturing Corporation</t>
  </si>
  <si>
    <t>suresh.gupta@matrix.in</t>
  </si>
  <si>
    <t>50, Jaipur, RJ</t>
  </si>
  <si>
    <t>05ABCDE6140F1Z5</t>
  </si>
  <si>
    <t>Dynamic Packaging Solutions</t>
  </si>
  <si>
    <t>ankit.reddy@dynamic.in</t>
  </si>
  <si>
    <t>870, Delhi, DL</t>
  </si>
  <si>
    <t>06ABCDE5422F1Z7</t>
  </si>
  <si>
    <t>Elite Solutions India</t>
  </si>
  <si>
    <t>Harsh Yadav</t>
  </si>
  <si>
    <t>harsh.yadav@elite.in</t>
  </si>
  <si>
    <t>301, Lucknow, UP</t>
  </si>
  <si>
    <t>25ABCDE6685F1Z0</t>
  </si>
  <si>
    <t>Nexus Digital Corporation</t>
  </si>
  <si>
    <t>divya.verma@nexus.in</t>
  </si>
  <si>
    <t>233, Mumbai, MH</t>
  </si>
  <si>
    <t>19ABCDE3119F1Z3</t>
  </si>
  <si>
    <t>Rapid Healthcare Solutions</t>
  </si>
  <si>
    <t>priya.gupta@rapid.in</t>
  </si>
  <si>
    <t>572, Jaipur, RJ</t>
  </si>
  <si>
    <t>18ABCDE3243F1Z6</t>
  </si>
  <si>
    <t>Titan Foods Technologies</t>
  </si>
  <si>
    <t>meera.bansal@titan.in</t>
  </si>
  <si>
    <t>164, Hyderabad, TS</t>
  </si>
  <si>
    <t>06ABCDE3887F1Z2</t>
  </si>
  <si>
    <t>Royal Infra Group</t>
  </si>
  <si>
    <t>Amit Kapoor</t>
  </si>
  <si>
    <t>amit.kapoor@royal.in</t>
  </si>
  <si>
    <t>196, Surat, GJ</t>
  </si>
  <si>
    <t>17ABCDE5619F1Z0</t>
  </si>
  <si>
    <t>Sky Manufacturing Enterprises</t>
  </si>
  <si>
    <t>meera.yadav@sky.in</t>
  </si>
  <si>
    <t>985, Ahmedabad, GJ</t>
  </si>
  <si>
    <t>09ABCDE9445F1Z9</t>
  </si>
  <si>
    <t>Blue Services Enterprises</t>
  </si>
  <si>
    <t>akash.mehta@blue.in</t>
  </si>
  <si>
    <t>31ABCDE7560F1Z0</t>
  </si>
  <si>
    <t>Golden Industries Group</t>
  </si>
  <si>
    <t>Riya Gupta</t>
  </si>
  <si>
    <t>riya.gupta@golden.in</t>
  </si>
  <si>
    <t>625, Ahmedabad, GJ</t>
  </si>
  <si>
    <t>04ABCDE2677F1Z0</t>
  </si>
  <si>
    <t>Sky Analytics LLP</t>
  </si>
  <si>
    <t>905, Delhi, DL</t>
  </si>
  <si>
    <t>14ABCDE7164F1Z2</t>
  </si>
  <si>
    <t>Global Digital Works</t>
  </si>
  <si>
    <t>arjun.verma@global.in</t>
  </si>
  <si>
    <t>487, Lucknow, UP</t>
  </si>
  <si>
    <t>31ABCDE8927F1Z4</t>
  </si>
  <si>
    <t>Vertex Enterprises LLP</t>
  </si>
  <si>
    <t>Kavya Jain</t>
  </si>
  <si>
    <t>kavya.jain@vertex.in</t>
  </si>
  <si>
    <t>500, Pune, MH</t>
  </si>
  <si>
    <t>11ABCDE9459F1Z0</t>
  </si>
  <si>
    <t>Future Automation Works</t>
  </si>
  <si>
    <t>karan.mishra@future.in</t>
  </si>
  <si>
    <t>786, Mumbai, MH</t>
  </si>
  <si>
    <t>34ABCDE5883F1Z1</t>
  </si>
  <si>
    <t>Global Automation Works</t>
  </si>
  <si>
    <t>rohit.jain@global.in</t>
  </si>
  <si>
    <t>555, Hyderabad, TS</t>
  </si>
  <si>
    <t>35ABCDE9236F1Z5</t>
  </si>
  <si>
    <t>Royal Packaging Group</t>
  </si>
  <si>
    <t>832, Chennai, TN</t>
  </si>
  <si>
    <t>15ABCDE4275F1Z8</t>
  </si>
  <si>
    <t>Everest Digital Pvt Ltd</t>
  </si>
  <si>
    <t>Amit Reddy</t>
  </si>
  <si>
    <t>amit.reddy@everest.in</t>
  </si>
  <si>
    <t>275, Lucknow, UP</t>
  </si>
  <si>
    <t>13ABCDE6640F1Z7</t>
  </si>
  <si>
    <t>Dynamic Digital LLP</t>
  </si>
  <si>
    <t>Vikas Verma</t>
  </si>
  <si>
    <t>vikas.verma@dynamic.in</t>
  </si>
  <si>
    <t>211, Lucknow, UP</t>
  </si>
  <si>
    <t>22ABCDE4348F1Z7</t>
  </si>
  <si>
    <t>Apex Electronics Works</t>
  </si>
  <si>
    <t>Harsh Verma</t>
  </si>
  <si>
    <t>harsh.verma@apex.in</t>
  </si>
  <si>
    <t>132, Kolkata, WB</t>
  </si>
  <si>
    <t>25ABCDE4265F1Z7</t>
  </si>
  <si>
    <t>Silver Manufacturing Works</t>
  </si>
  <si>
    <t>priya.reddy@silver.in</t>
  </si>
  <si>
    <t>484, Jaipur, RJ</t>
  </si>
  <si>
    <t>26ABCDE2391F1Z2</t>
  </si>
  <si>
    <t>Green Enterprises Pvt Ltd</t>
  </si>
  <si>
    <t>159, Kolkata, WB</t>
  </si>
  <si>
    <t>31ABCDE6741F1Z2</t>
  </si>
  <si>
    <t>Titan Analytics Corporation</t>
  </si>
  <si>
    <t>Amit Sharma</t>
  </si>
  <si>
    <t>amit.sharma@titan.in</t>
  </si>
  <si>
    <t>675, Chennai, TN</t>
  </si>
  <si>
    <t>07ABCDE9627F1Z2</t>
  </si>
  <si>
    <t>Infinity Consulting Group</t>
  </si>
  <si>
    <t>amit.singh@infinity.in</t>
  </si>
  <si>
    <t>523, Pune, MH</t>
  </si>
  <si>
    <t>16ABCDE6341F1Z4</t>
  </si>
  <si>
    <t>NextGen Manufacturing Corporation</t>
  </si>
  <si>
    <t>Rahul Joshi</t>
  </si>
  <si>
    <t>rahul.joshi@nextgen.in</t>
  </si>
  <si>
    <t>929, Ahmedabad, GJ</t>
  </si>
  <si>
    <t>30ABCDE9466F1Z6</t>
  </si>
  <si>
    <t>Matrix Enterprises Enterprises</t>
  </si>
  <si>
    <t>Karan Agarwal</t>
  </si>
  <si>
    <t>karan.agarwal@matrix.in</t>
  </si>
  <si>
    <t>903, Mumbai, MH</t>
  </si>
  <si>
    <t>29ABCDE4000F1Z9</t>
  </si>
  <si>
    <t>Apex Exports Corporation</t>
  </si>
  <si>
    <t>rohit.gupta@apex.in</t>
  </si>
  <si>
    <t>752, Surat, GJ</t>
  </si>
  <si>
    <t>08ABCDE2011F1Z5</t>
  </si>
  <si>
    <t>Core Automation Enterprises</t>
  </si>
  <si>
    <t>Arjun Reddy</t>
  </si>
  <si>
    <t>arjun.reddy@core.in</t>
  </si>
  <si>
    <t>914, Delhi, DL</t>
  </si>
  <si>
    <t>36ABCDE1930F1Z3</t>
  </si>
  <si>
    <t>Golden Foods Pvt Ltd</t>
  </si>
  <si>
    <t>Neha Agarwal</t>
  </si>
  <si>
    <t>neha.agarwal@golden.in</t>
  </si>
  <si>
    <t>38, Indore, MP</t>
  </si>
  <si>
    <t>05ABCDE8262F1Z5</t>
  </si>
  <si>
    <t>Matrix Packaging Enterprises</t>
  </si>
  <si>
    <t>anjali.mishra@matrix.in</t>
  </si>
  <si>
    <t>530, Lucknow, UP</t>
  </si>
  <si>
    <t>35ABCDE8832F1Z8</t>
  </si>
  <si>
    <t>Smart Pharma Enterprises</t>
  </si>
  <si>
    <t>pooja.joshi@smart.in</t>
  </si>
  <si>
    <t>870, Hyderabad, TS</t>
  </si>
  <si>
    <t>29ABCDE3246F1Z6</t>
  </si>
  <si>
    <t>Zenith Healthcare Solutions</t>
  </si>
  <si>
    <t>suresh.verma@zenith.in</t>
  </si>
  <si>
    <t>448, Hyderabad, TS</t>
  </si>
  <si>
    <t>05ABCDE4484F1Z4</t>
  </si>
  <si>
    <t>Zenith Exports Corporation</t>
  </si>
  <si>
    <t>Aditya Bansal</t>
  </si>
  <si>
    <t>aditya.bansal@zenith.in</t>
  </si>
  <si>
    <t>156, Ahmedabad, GJ</t>
  </si>
  <si>
    <t>17ABCDE3248F1Z7</t>
  </si>
  <si>
    <t>Royal Steel LLP</t>
  </si>
  <si>
    <t>Akash Joshi</t>
  </si>
  <si>
    <t>akash.joshi@royal.in</t>
  </si>
  <si>
    <t>693, Bengaluru, KA</t>
  </si>
  <si>
    <t>15ABCDE3645F1Z6</t>
  </si>
  <si>
    <t>Matrix Healthcare Works</t>
  </si>
  <si>
    <t>Deepak Patel</t>
  </si>
  <si>
    <t>deepak.patel@matrix.in</t>
  </si>
  <si>
    <t>104, Ahmedabad, GJ</t>
  </si>
  <si>
    <t>24ABCDE1319F1Z5</t>
  </si>
  <si>
    <t>Titan Services Solutions</t>
  </si>
  <si>
    <t>Aditya Sharma</t>
  </si>
  <si>
    <t>aditya.sharma@titan.in</t>
  </si>
  <si>
    <t>539, Ahmedabad, GJ</t>
  </si>
  <si>
    <t>19ABCDE9392F1Z1</t>
  </si>
  <si>
    <t>Zenith Retail LLP</t>
  </si>
  <si>
    <t>priya.singh@zenith.in</t>
  </si>
  <si>
    <t>937, Mumbai, MH</t>
  </si>
  <si>
    <t>12ABCDE5430F1Z2</t>
  </si>
  <si>
    <t>Infinity Infra India</t>
  </si>
  <si>
    <t>594, Indore, MP</t>
  </si>
  <si>
    <t>32ABCDE6358F1Z1</t>
  </si>
  <si>
    <t>Alpha Solutions Corporation</t>
  </si>
  <si>
    <t>Deepak Joshi</t>
  </si>
  <si>
    <t>deepak.joshi@alpha.in</t>
  </si>
  <si>
    <t>970, Pune, MH</t>
  </si>
  <si>
    <t>02ABCDE2451F1Z4</t>
  </si>
  <si>
    <t>Vertex Packaging Group</t>
  </si>
  <si>
    <t>priya.singh@vertex.in</t>
  </si>
  <si>
    <t>21, Lucknow, UP</t>
  </si>
  <si>
    <t>22ABCDE7844F1Z4</t>
  </si>
  <si>
    <t>Bright Solutions Enterprises</t>
  </si>
  <si>
    <t>Aditya Patel</t>
  </si>
  <si>
    <t>aditya.patel@bright.in</t>
  </si>
  <si>
    <t>278, Bengaluru, KA</t>
  </si>
  <si>
    <t>04ABCDE3967F1Z3</t>
  </si>
  <si>
    <t>Pioneer Textiles India</t>
  </si>
  <si>
    <t>sneha.reddy@pioneer.in</t>
  </si>
  <si>
    <t>466, Pune, MH</t>
  </si>
  <si>
    <t>33ABCDE3914F1Z4</t>
  </si>
  <si>
    <t>Dynamic Tech India</t>
  </si>
  <si>
    <t>527, Chennai, TN</t>
  </si>
  <si>
    <t>36ABCDE4104F1Z8</t>
  </si>
  <si>
    <t>Sterling Retail Solutions</t>
  </si>
  <si>
    <t>neha.bansal@sterling.in</t>
  </si>
  <si>
    <t>452, Kolkata, WB</t>
  </si>
  <si>
    <t>32ABCDE9944F1Z6</t>
  </si>
  <si>
    <t>Matrix Logistics Group</t>
  </si>
  <si>
    <t>Vikas Jain</t>
  </si>
  <si>
    <t>vikas.jain@matrix.in</t>
  </si>
  <si>
    <t>756, Chennai, TN</t>
  </si>
  <si>
    <t>09ABCDE7630F1Z5</t>
  </si>
  <si>
    <t>Blue Enterprises Pvt Ltd</t>
  </si>
  <si>
    <t>priya.bansal@blue.in</t>
  </si>
  <si>
    <t>451, Pune, MH</t>
  </si>
  <si>
    <t>11ABCDE1907F1Z1</t>
  </si>
  <si>
    <t>Fusion Automation India</t>
  </si>
  <si>
    <t>Divya Patel</t>
  </si>
  <si>
    <t>divya.patel@fusion.in</t>
  </si>
  <si>
    <t>56, Pune, MH</t>
  </si>
  <si>
    <t>30ABCDE4036F1Z2</t>
  </si>
  <si>
    <t>Alpha Services Pvt Ltd</t>
  </si>
  <si>
    <t>pooja.jain@alpha.in</t>
  </si>
  <si>
    <t>341, Indore, MP</t>
  </si>
  <si>
    <t>16ABCDE1564F1Z4</t>
  </si>
  <si>
    <t>Future Digital Corporation</t>
  </si>
  <si>
    <t>amit.jain@future.in</t>
  </si>
  <si>
    <t>496, Delhi, DL</t>
  </si>
  <si>
    <t>18ABCDE9237F1Z3</t>
  </si>
  <si>
    <t>Smart Automation Pvt Ltd</t>
  </si>
  <si>
    <t>priya.singh@smart.in</t>
  </si>
  <si>
    <t>26ABCDE1682F1Z6</t>
  </si>
  <si>
    <t>Nova Logistics India</t>
  </si>
  <si>
    <t>Harsh Patel</t>
  </si>
  <si>
    <t>harsh.patel@nova.in</t>
  </si>
  <si>
    <t>990, Surat, GJ</t>
  </si>
  <si>
    <t>34ABCDE3543F1Z9</t>
  </si>
  <si>
    <t>Fusion Exports Works</t>
  </si>
  <si>
    <t>Kavya Kapoor</t>
  </si>
  <si>
    <t>kavya.kapoor@fusion.in</t>
  </si>
  <si>
    <t>751, Pune, MH</t>
  </si>
  <si>
    <t>10ABCDE1717F1Z8</t>
  </si>
  <si>
    <t>Infinity Steel Enterprises</t>
  </si>
  <si>
    <t>Karan Joshi</t>
  </si>
  <si>
    <t>karan.joshi@infinity.in</t>
  </si>
  <si>
    <t>592, Indore, MP</t>
  </si>
  <si>
    <t>02ABCDE4767F1Z1</t>
  </si>
  <si>
    <t>Nova Solutions Corporation</t>
  </si>
  <si>
    <t>Harsh Jain</t>
  </si>
  <si>
    <t>harsh.jain@nova.in</t>
  </si>
  <si>
    <t>865, Jaipur, RJ</t>
  </si>
  <si>
    <t>29ABCDE1831F1Z0</t>
  </si>
  <si>
    <t>NextGen Infra Group</t>
  </si>
  <si>
    <t>arjun.singh@nextgen.in</t>
  </si>
  <si>
    <t>826, Lucknow, UP</t>
  </si>
  <si>
    <t>05ABCDE9240F1Z8</t>
  </si>
  <si>
    <t>Vertex Infra Enterprises</t>
  </si>
  <si>
    <t>priya.mishra@vertex.in</t>
  </si>
  <si>
    <t>268, Lucknow, UP</t>
  </si>
  <si>
    <t>05ABCDE5350F1Z3</t>
  </si>
  <si>
    <t>Future Retail Solutions</t>
  </si>
  <si>
    <t>arjun.nair@future.in</t>
  </si>
  <si>
    <t>500, Delhi, DL</t>
  </si>
  <si>
    <t>19ABCDE1765F1Z9</t>
  </si>
  <si>
    <t>Golden Industries Corporation</t>
  </si>
  <si>
    <t>Suresh Singh</t>
  </si>
  <si>
    <t>suresh.singh@golden.in</t>
  </si>
  <si>
    <t>719, Chennai, TN</t>
  </si>
  <si>
    <t>20ABCDE3186F1Z0</t>
  </si>
  <si>
    <t>Sterling Solutions Solutions</t>
  </si>
  <si>
    <t>pooja.bansal@sterling.in</t>
  </si>
  <si>
    <t>232, Chennai, TN</t>
  </si>
  <si>
    <t>32ABCDE5765F1Z8</t>
  </si>
  <si>
    <t>Sigma Services Solutions</t>
  </si>
  <si>
    <t>Riya Reddy</t>
  </si>
  <si>
    <t>riya.reddy@sigma.in</t>
  </si>
  <si>
    <t>214, Indore, MP</t>
  </si>
  <si>
    <t>20ABCDE2406F1Z7</t>
  </si>
  <si>
    <t>Nova Logistics Solutions</t>
  </si>
  <si>
    <t>Priya Nair</t>
  </si>
  <si>
    <t>priya.nair@nova.in</t>
  </si>
  <si>
    <t>285, Lucknow, UP</t>
  </si>
  <si>
    <t>25ABCDE4437F1Z3</t>
  </si>
  <si>
    <t>Elite Energy LLP</t>
  </si>
  <si>
    <t>karan.mishra@elite.in</t>
  </si>
  <si>
    <t>985, Pune, MH</t>
  </si>
  <si>
    <t>24ABCDE3172F1Z9</t>
  </si>
  <si>
    <t>Matrix Foods LLP</t>
  </si>
  <si>
    <t>Aditya Jain</t>
  </si>
  <si>
    <t>aditya.jain@matrix.in</t>
  </si>
  <si>
    <t>929, Lucknow, UP</t>
  </si>
  <si>
    <t>32ABCDE7456F1Z0</t>
  </si>
  <si>
    <t>Green Tech Solutions</t>
  </si>
  <si>
    <t>Nisha Kapoor</t>
  </si>
  <si>
    <t>nisha.kapoor@green.in</t>
  </si>
  <si>
    <t>754, Pune, MH</t>
  </si>
  <si>
    <t>10ABCDE7818F1Z5</t>
  </si>
  <si>
    <t>Fusion Engineering LLP</t>
  </si>
  <si>
    <t>suresh.sharma@fusion.in</t>
  </si>
  <si>
    <t>869, Ahmedabad, GJ</t>
  </si>
  <si>
    <t>26ABCDE2966F1Z3</t>
  </si>
  <si>
    <t>Apex Steel India</t>
  </si>
  <si>
    <t>pooja.jain@apex.in</t>
  </si>
  <si>
    <t>409, Jaipur, RJ</t>
  </si>
  <si>
    <t>05ABCDE6909F1Z6</t>
  </si>
  <si>
    <t>Alpha Solutions India</t>
  </si>
  <si>
    <t>Neha Sharma</t>
  </si>
  <si>
    <t>neha.sharma@alpha.in</t>
  </si>
  <si>
    <t>302, Kolkata, WB</t>
  </si>
  <si>
    <t>10ABCDE5084F1Z4</t>
  </si>
  <si>
    <t>Infinity Automation Works</t>
  </si>
  <si>
    <t>anjali.reddy@infinity.in</t>
  </si>
  <si>
    <t>915, Jaipur, RJ</t>
  </si>
  <si>
    <t>02ABCDE7554F1Z8</t>
  </si>
  <si>
    <t>Titan Consulting LLP</t>
  </si>
  <si>
    <t>rahul.joshi@titan.in</t>
  </si>
  <si>
    <t>471, Jaipur, RJ</t>
  </si>
  <si>
    <t>09ABCDE5689F1Z7</t>
  </si>
  <si>
    <t>Blue Analytics Corporation</t>
  </si>
  <si>
    <t>rohit.kapoor@blue.in</t>
  </si>
  <si>
    <t>298, Ahmedabad, GJ</t>
  </si>
  <si>
    <t>20ABCDE5190F1Z4</t>
  </si>
  <si>
    <t>Rapid Textiles Group</t>
  </si>
  <si>
    <t>nitin.kapoor@rapid.in</t>
  </si>
  <si>
    <t>413, Kolkata, WB</t>
  </si>
  <si>
    <t>08ABCDE3741F1Z2</t>
  </si>
  <si>
    <t>Elite Consulting Enterprises</t>
  </si>
  <si>
    <t>arjun.agarwal@elite.in</t>
  </si>
  <si>
    <t>938, Lucknow, UP</t>
  </si>
  <si>
    <t>22ABCDE8372F1Z6</t>
  </si>
  <si>
    <t>Bright Analytics Group</t>
  </si>
  <si>
    <t>vikas.verma@bright.in</t>
  </si>
  <si>
    <t>579, Ahmedabad, GJ</t>
  </si>
  <si>
    <t>06ABCDE6231F1Z3</t>
  </si>
  <si>
    <t>Metro Foods Group</t>
  </si>
  <si>
    <t>amit.mishra@metro.in</t>
  </si>
  <si>
    <t>433, Jaipur, RJ</t>
  </si>
  <si>
    <t>34ABCDE4440F1Z6</t>
  </si>
  <si>
    <t>Alpha Engineering Pvt Ltd</t>
  </si>
  <si>
    <t>arjun.singh@alpha.in</t>
  </si>
  <si>
    <t>138, Ahmedabad, GJ</t>
  </si>
  <si>
    <t>33ABCDE9670F1Z3</t>
  </si>
  <si>
    <t>Vertex Foods Group</t>
  </si>
  <si>
    <t>akash.mehta@vertex.in</t>
  </si>
  <si>
    <t>452, Lucknow, UP</t>
  </si>
  <si>
    <t>20ABCDE1357F1Z2</t>
  </si>
  <si>
    <t>Prime Manufacturing Solutions</t>
  </si>
  <si>
    <t>ankit.kapoor@prime.in</t>
  </si>
  <si>
    <t>410, Delhi, DL</t>
  </si>
  <si>
    <t>34ABCDE8670F1Z7</t>
  </si>
  <si>
    <t>Smart Traders Group</t>
  </si>
  <si>
    <t>121, Kolkata, WB</t>
  </si>
  <si>
    <t>30ABCDE2392F1Z8</t>
  </si>
  <si>
    <t>Prime Tech Corporation</t>
  </si>
  <si>
    <t>vikas.yadav@prime.in</t>
  </si>
  <si>
    <t>742, Kolkata, WB</t>
  </si>
  <si>
    <t>20ABCDE3096F1Z4</t>
  </si>
  <si>
    <t>Core Textiles Technologies</t>
  </si>
  <si>
    <t>Aditya Reddy</t>
  </si>
  <si>
    <t>aditya.reddy@core.in</t>
  </si>
  <si>
    <t>82, Delhi, DL</t>
  </si>
  <si>
    <t>20ABCDE9592F1Z9</t>
  </si>
  <si>
    <t>Golden Healthcare India</t>
  </si>
  <si>
    <t>vikas.reddy@golden.in</t>
  </si>
  <si>
    <t>20, Mumbai, MH</t>
  </si>
  <si>
    <t>35ABCDE5940F1Z7</t>
  </si>
  <si>
    <t>Alpha Engineering Group</t>
  </si>
  <si>
    <t>arjun.agarwal@alpha.in</t>
  </si>
  <si>
    <t>262, Indore, MP</t>
  </si>
  <si>
    <t>02ABCDE7747F1Z4</t>
  </si>
  <si>
    <t>Blue Tech Group</t>
  </si>
  <si>
    <t>arjun.joshi@blue.in</t>
  </si>
  <si>
    <t>440, Kolkata, WB</t>
  </si>
  <si>
    <t>06ABCDE5214F1Z3</t>
  </si>
  <si>
    <t>Infinity Digital Group</t>
  </si>
  <si>
    <t>arjun.sharma@infinity.in</t>
  </si>
  <si>
    <t>745, Ahmedabad, GJ</t>
  </si>
  <si>
    <t>27ABCDE6936F1Z6</t>
  </si>
  <si>
    <t>Golden Tech India</t>
  </si>
  <si>
    <t>Kavya Nair</t>
  </si>
  <si>
    <t>kavya.nair@golden.in</t>
  </si>
  <si>
    <t>220, Delhi, DL</t>
  </si>
  <si>
    <t>32ABCDE4283F1Z4</t>
  </si>
  <si>
    <t>Golden Retail Solutions</t>
  </si>
  <si>
    <t>vikas.singh@golden.in</t>
  </si>
  <si>
    <t>121, Pune, MH</t>
  </si>
  <si>
    <t>32ABCDE4068F1Z3</t>
  </si>
  <si>
    <t>Everest Manufacturing Pvt Ltd</t>
  </si>
  <si>
    <t>divya.gupta@everest.in</t>
  </si>
  <si>
    <t>228, Mumbai, MH</t>
  </si>
  <si>
    <t>02ABCDE3325F1Z6</t>
  </si>
  <si>
    <t>Blue Pharma Pvt Ltd</t>
  </si>
  <si>
    <t>rohit.mehta@blue.in</t>
  </si>
  <si>
    <t>914, Chennai, TN</t>
  </si>
  <si>
    <t>21ABCDE2854F1Z1</t>
  </si>
  <si>
    <t>Green Engineering Group</t>
  </si>
  <si>
    <t>rohit.bansal@green.in</t>
  </si>
  <si>
    <t>488, Chennai, TN</t>
  </si>
  <si>
    <t>03ABCDE6108F1Z6</t>
  </si>
  <si>
    <t>Metro Engineering Solutions</t>
  </si>
  <si>
    <t>rohit.verma@metro.in</t>
  </si>
  <si>
    <t>296, Delhi, DL</t>
  </si>
  <si>
    <t>06ABCDE6758F1Z6</t>
  </si>
  <si>
    <t>Zenith Analytics Group</t>
  </si>
  <si>
    <t>akash.jain@zenith.in</t>
  </si>
  <si>
    <t>851, Pune, MH</t>
  </si>
  <si>
    <t>28ABCDE2437F1Z0</t>
  </si>
  <si>
    <t>Sterling Consulting Works</t>
  </si>
  <si>
    <t>varun.joshi@sterling.in</t>
  </si>
  <si>
    <t>341, Hyderabad, TS</t>
  </si>
  <si>
    <t>24ABCDE8774F1Z0</t>
  </si>
  <si>
    <t>Vision Retail Technologies</t>
  </si>
  <si>
    <t>rahul.mehta@vision.in</t>
  </si>
  <si>
    <t>74, Lucknow, UP</t>
  </si>
  <si>
    <t>04ABCDE5210F1Z3</t>
  </si>
  <si>
    <t>Elite Packaging Works</t>
  </si>
  <si>
    <t>meera.singh@elite.in</t>
  </si>
  <si>
    <t>54, Surat, GJ</t>
  </si>
  <si>
    <t>17ABCDE6185F1Z4</t>
  </si>
  <si>
    <t>Pioneer Tech LLP</t>
  </si>
  <si>
    <t>Amit Nair</t>
  </si>
  <si>
    <t>amit.nair@pioneer.in</t>
  </si>
  <si>
    <t>30ABCDE7332F1Z4</t>
  </si>
  <si>
    <t>Infinity Electronics Corporation</t>
  </si>
  <si>
    <t>arjun.gupta@infinity.in</t>
  </si>
  <si>
    <t>320, Chennai, TN</t>
  </si>
  <si>
    <t>10ABCDE4868F1Z5</t>
  </si>
  <si>
    <t>Summit Services Works</t>
  </si>
  <si>
    <t>divya.verma@summit.in</t>
  </si>
  <si>
    <t>411, Hyderabad, TS</t>
  </si>
  <si>
    <t>11ABCDE5051F1Z6</t>
  </si>
  <si>
    <t>Elite Textiles Pvt Ltd</t>
  </si>
  <si>
    <t>174, Ahmedabad, GJ</t>
  </si>
  <si>
    <t>28ABCDE2723F1Z1</t>
  </si>
  <si>
    <t>Global Packaging LLP</t>
  </si>
  <si>
    <t>anjali.verma@global.in</t>
  </si>
  <si>
    <t>736, Lucknow, UP</t>
  </si>
  <si>
    <t>29ABCDE3837F1Z3</t>
  </si>
  <si>
    <t>Bright Manufacturing Solutions</t>
  </si>
  <si>
    <t>Divya Joshi</t>
  </si>
  <si>
    <t>divya.joshi@bright.in</t>
  </si>
  <si>
    <t>775, Hyderabad, TS</t>
  </si>
  <si>
    <t>35ABCDE2985F1Z4</t>
  </si>
  <si>
    <t>Sigma Foods India</t>
  </si>
  <si>
    <t>meera.singh@sigma.in</t>
  </si>
  <si>
    <t>213, Pune, MH</t>
  </si>
  <si>
    <t>29ABCDE5053F1Z2</t>
  </si>
  <si>
    <t>Smart Retail Corporation</t>
  </si>
  <si>
    <t>Nitin Joshi</t>
  </si>
  <si>
    <t>nitin.joshi@smart.in</t>
  </si>
  <si>
    <t>344, Hyderabad, TS</t>
  </si>
  <si>
    <t>05ABCDE7489F1Z4</t>
  </si>
  <si>
    <t>Smart Automation Enterprises</t>
  </si>
  <si>
    <t>vikas.bansal@smart.in</t>
  </si>
  <si>
    <t>679, Delhi, DL</t>
  </si>
  <si>
    <t>30ABCDE1606F1Z1</t>
  </si>
  <si>
    <t>Apex Electronics Group</t>
  </si>
  <si>
    <t>riya.joshi@apex.in</t>
  </si>
  <si>
    <t>907, Mumbai, MH</t>
  </si>
  <si>
    <t>19ABCDE4815F1Z1</t>
  </si>
  <si>
    <t>Blue Consulting Group</t>
  </si>
  <si>
    <t>Priya Jain</t>
  </si>
  <si>
    <t>priya.jain@blue.in</t>
  </si>
  <si>
    <t>469, Bengaluru, KA</t>
  </si>
  <si>
    <t>17ABCDE1103F1Z1</t>
  </si>
  <si>
    <t>Dynamic Consulting Pvt Ltd</t>
  </si>
  <si>
    <t>meera.jain@dynamic.in</t>
  </si>
  <si>
    <t>218, Mumbai, MH</t>
  </si>
  <si>
    <t>17ABCDE1626F1Z9</t>
  </si>
  <si>
    <t>Future Tech Works</t>
  </si>
  <si>
    <t>Deepak Bansal</t>
  </si>
  <si>
    <t>deepak.bansal@future.in</t>
  </si>
  <si>
    <t>645, Bengaluru, KA</t>
  </si>
  <si>
    <t>20ABCDE2276F1Z3</t>
  </si>
  <si>
    <t>Prime Electronics Enterprises</t>
  </si>
  <si>
    <t>arjun.verma@prime.in</t>
  </si>
  <si>
    <t>824, Delhi, DL</t>
  </si>
  <si>
    <t>26ABCDE3532F1Z8</t>
  </si>
  <si>
    <t>Vertex Textiles Corporation</t>
  </si>
  <si>
    <t>akash.mishra@vertex.in</t>
  </si>
  <si>
    <t>300, Jaipur, RJ</t>
  </si>
  <si>
    <t>20ABCDE7845F1Z0</t>
  </si>
  <si>
    <t>Pioneer Steel Works</t>
  </si>
  <si>
    <t>deepak.mehta@pioneer.in</t>
  </si>
  <si>
    <t>669, Ahmedabad, GJ</t>
  </si>
  <si>
    <t>13ABCDE7401F1Z6</t>
  </si>
  <si>
    <t>Future Tech Technologies</t>
  </si>
  <si>
    <t>rohit.mehta@future.in</t>
  </si>
  <si>
    <t>425, Delhi, DL</t>
  </si>
  <si>
    <t>37ABCDE6975F1Z7</t>
  </si>
  <si>
    <t>Rapid Industries Works</t>
  </si>
  <si>
    <t>Kavya Agarwal</t>
  </si>
  <si>
    <t>kavya.agarwal@rapid.in</t>
  </si>
  <si>
    <t>366, Bengaluru, KA</t>
  </si>
  <si>
    <t>19ABCDE3651F1Z8</t>
  </si>
  <si>
    <t>Green Industries LLP</t>
  </si>
  <si>
    <t>akash.kapoor@green.in</t>
  </si>
  <si>
    <t>318, Hyderabad, TS</t>
  </si>
  <si>
    <t>09ABCDE1712F1Z7</t>
  </si>
  <si>
    <t>Summit Solutions Technologies</t>
  </si>
  <si>
    <t>Priya Joshi</t>
  </si>
  <si>
    <t>priya.joshi@summit.in</t>
  </si>
  <si>
    <t>714, Surat, GJ</t>
  </si>
  <si>
    <t>11ABCDE4638F1Z9</t>
  </si>
  <si>
    <t>Rapid Packaging Group</t>
  </si>
  <si>
    <t>arjun.gupta@rapid.in</t>
  </si>
  <si>
    <t>52, Hyderabad, TS</t>
  </si>
  <si>
    <t>26ABCDE9485F1Z2</t>
  </si>
  <si>
    <t>Fusion Digital LLP</t>
  </si>
  <si>
    <t>karan.patel@fusion.in</t>
  </si>
  <si>
    <t>36ABCDE1624F1Z5</t>
  </si>
  <si>
    <t>Titan Textiles India</t>
  </si>
  <si>
    <t>Harsh Mehta</t>
  </si>
  <si>
    <t>harsh.mehta@titan.in</t>
  </si>
  <si>
    <t>265, Surat, GJ</t>
  </si>
  <si>
    <t>28ABCDE7376F1Z5</t>
  </si>
  <si>
    <t>Orbit Automation Solutions</t>
  </si>
  <si>
    <t>Rohit Sharma</t>
  </si>
  <si>
    <t>rohit.sharma@orbit.in</t>
  </si>
  <si>
    <t>511, Surat, GJ</t>
  </si>
  <si>
    <t>30ABCDE4854F1Z7</t>
  </si>
  <si>
    <t>Nexus Systems Solutions</t>
  </si>
  <si>
    <t>Akash Verma</t>
  </si>
  <si>
    <t>akash.verma@nexus.in</t>
  </si>
  <si>
    <t>28ABCDE6985F1Z1</t>
  </si>
  <si>
    <t>Nisha Sharma</t>
  </si>
  <si>
    <t>nisha.sharma@orbit.in</t>
  </si>
  <si>
    <t>143, Kolkata, WB</t>
  </si>
  <si>
    <t>06ABCDE6140F1Z8</t>
  </si>
  <si>
    <t>Vertex Solutions Enterprises</t>
  </si>
  <si>
    <t>akash.bansal@vertex.in</t>
  </si>
  <si>
    <t>36, Bengaluru, KA</t>
  </si>
  <si>
    <t>05ABCDE2795F1Z3</t>
  </si>
  <si>
    <t>Bright Electronics India</t>
  </si>
  <si>
    <t>rohit.bansal@bright.in</t>
  </si>
  <si>
    <t>962, Chennai, TN</t>
  </si>
  <si>
    <t>15ABCDE2073F1Z5</t>
  </si>
  <si>
    <t>Global Systems Works</t>
  </si>
  <si>
    <t>divya.singh@global.in</t>
  </si>
  <si>
    <t>157, Lucknow, UP</t>
  </si>
  <si>
    <t>17ABCDE9228F1Z7</t>
  </si>
  <si>
    <t>Future Energy India</t>
  </si>
  <si>
    <t>Divya Agarwal</t>
  </si>
  <si>
    <t>divya.agarwal@future.in</t>
  </si>
  <si>
    <t>391, Ahmedabad, GJ</t>
  </si>
  <si>
    <t>03ABCDE4259F1Z2</t>
  </si>
  <si>
    <t>Rapid Systems India</t>
  </si>
  <si>
    <t>Nisha Jain</t>
  </si>
  <si>
    <t>nisha.jain@rapid.in</t>
  </si>
  <si>
    <t>821, Bengaluru, KA</t>
  </si>
  <si>
    <t>17ABCDE2885F1Z8</t>
  </si>
  <si>
    <t>Blue Textiles Works</t>
  </si>
  <si>
    <t>riya.agarwal@blue.in</t>
  </si>
  <si>
    <t>715, Surat, GJ</t>
  </si>
  <si>
    <t>07ABCDE5129F1Z8</t>
  </si>
  <si>
    <t>Rapid Steel Works</t>
  </si>
  <si>
    <t>pooja.mehta@rapid.in</t>
  </si>
  <si>
    <t>159, Surat, GJ</t>
  </si>
  <si>
    <t>24ABCDE6420F1Z1</t>
  </si>
  <si>
    <t>Orbit Retail Corporation</t>
  </si>
  <si>
    <t>Divya Mishra</t>
  </si>
  <si>
    <t>divya.mishra@orbit.in</t>
  </si>
  <si>
    <t>849, Pune, MH</t>
  </si>
  <si>
    <t>34ABCDE5155F1Z4</t>
  </si>
  <si>
    <t>Summit Steel Pvt Ltd</t>
  </si>
  <si>
    <t>Kavya Sharma</t>
  </si>
  <si>
    <t>kavya.sharma@summit.in</t>
  </si>
  <si>
    <t>307, Bengaluru, KA</t>
  </si>
  <si>
    <t>28ABCDE7843F1Z8</t>
  </si>
  <si>
    <t>Metro Solutions Corporation</t>
  </si>
  <si>
    <t>arjun.patel@metro.in</t>
  </si>
  <si>
    <t>02ABCDE1891F1Z0</t>
  </si>
  <si>
    <t>Dynamic Logistics LLP</t>
  </si>
  <si>
    <t>sneha.jain@dynamic.in</t>
  </si>
  <si>
    <t>433, Hyderabad, TS</t>
  </si>
  <si>
    <t>20ABCDE3190F1Z3</t>
  </si>
  <si>
    <t>Metro Packaging Solutions</t>
  </si>
  <si>
    <t>rohit.gupta@metro.in</t>
  </si>
  <si>
    <t>734, Hyderabad, TS</t>
  </si>
  <si>
    <t>10ABCDE8386F1Z1</t>
  </si>
  <si>
    <t>Elite Textiles Corporation</t>
  </si>
  <si>
    <t>Nisha Reddy</t>
  </si>
  <si>
    <t>nisha.reddy@elite.in</t>
  </si>
  <si>
    <t>841, Jaipur, RJ</t>
  </si>
  <si>
    <t>17ABCDE1188F1Z0</t>
  </si>
  <si>
    <t>Titan Digital Solutions</t>
  </si>
  <si>
    <t>divya.joshi@titan.in</t>
  </si>
  <si>
    <t>514, Chennai, TN</t>
  </si>
  <si>
    <t>16ABCDE3704F1Z0</t>
  </si>
  <si>
    <t>amit.mehta@prime.in</t>
  </si>
  <si>
    <t>173, Hyderabad, TS</t>
  </si>
  <si>
    <t>04ABCDE2718F1Z0</t>
  </si>
  <si>
    <t>Titan Infra Group</t>
  </si>
  <si>
    <t>karan.mehta@titan.in</t>
  </si>
  <si>
    <t>632, Indore, MP</t>
  </si>
  <si>
    <t>33ABCDE7803F1Z9</t>
  </si>
  <si>
    <t>Silver Automation India</t>
  </si>
  <si>
    <t>priya.singh@silver.in</t>
  </si>
  <si>
    <t>920, Mumbai, MH</t>
  </si>
  <si>
    <t>31ABCDE9821F1Z0</t>
  </si>
  <si>
    <t>Fusion Manufacturing Solutions</t>
  </si>
  <si>
    <t>priya.mishra@fusion.in</t>
  </si>
  <si>
    <t>15ABCDE2724F1Z4</t>
  </si>
  <si>
    <t>Royal Textiles Pvt Ltd</t>
  </si>
  <si>
    <t>neha.jain@royal.in</t>
  </si>
  <si>
    <t>975, Chennai, TN</t>
  </si>
  <si>
    <t>17ABCDE1860F1Z4</t>
  </si>
  <si>
    <t>Titan Infra Technologies</t>
  </si>
  <si>
    <t>nisha.reddy@titan.in</t>
  </si>
  <si>
    <t>312, Pune, MH</t>
  </si>
  <si>
    <t>14ABCDE2399F1Z8</t>
  </si>
  <si>
    <t>Apex Systems India</t>
  </si>
  <si>
    <t>vikas.nair@apex.in</t>
  </si>
  <si>
    <t>977, Hyderabad, TS</t>
  </si>
  <si>
    <t>11ABCDE6355F1Z3</t>
  </si>
  <si>
    <t>Fusion Engineering Group</t>
  </si>
  <si>
    <t>akash.joshi@fusion.in</t>
  </si>
  <si>
    <t>691, Chennai, TN</t>
  </si>
  <si>
    <t>35ABCDE8692F1Z7</t>
  </si>
  <si>
    <t>Core Pharma Pvt Ltd</t>
  </si>
  <si>
    <t>amit.mehta@core.in</t>
  </si>
  <si>
    <t>594, Hyderabad, TS</t>
  </si>
  <si>
    <t>20ABCDE4472F1Z6</t>
  </si>
  <si>
    <t>Elite Energy Corporation</t>
  </si>
  <si>
    <t>Karan Sharma</t>
  </si>
  <si>
    <t>karan.sharma@elite.in</t>
  </si>
  <si>
    <t>119, Delhi, DL</t>
  </si>
  <si>
    <t>11ABCDE6650F1Z2</t>
  </si>
  <si>
    <t>Nova Tech Pvt Ltd</t>
  </si>
  <si>
    <t>53, Kolkata, WB</t>
  </si>
  <si>
    <t>05ABCDE1764F1Z1</t>
  </si>
  <si>
    <t>Metro Consulting Enterprises</t>
  </si>
  <si>
    <t>Nisha Verma</t>
  </si>
  <si>
    <t>nisha.verma@metro.in</t>
  </si>
  <si>
    <t>976, Chennai, TN</t>
  </si>
  <si>
    <t>25ABCDE2754F1Z3</t>
  </si>
  <si>
    <t>Future Consulting LLP</t>
  </si>
  <si>
    <t>rahul.sharma@future.in</t>
  </si>
  <si>
    <t>99, Kolkata, WB</t>
  </si>
  <si>
    <t>19ABCDE8817F1Z1</t>
  </si>
  <si>
    <t>Bright Traders Group</t>
  </si>
  <si>
    <t>nitin.jain@bright.in</t>
  </si>
  <si>
    <t>02ABCDE6749F1Z4</t>
  </si>
  <si>
    <t>Sigma Solutions Works</t>
  </si>
  <si>
    <t>suresh.reddy@sigma.in</t>
  </si>
  <si>
    <t>497, Indore, MP</t>
  </si>
  <si>
    <t>19ABCDE1507F1Z6</t>
  </si>
  <si>
    <t>Nova Manufacturing Enterprises</t>
  </si>
  <si>
    <t>neha.jain@nova.in</t>
  </si>
  <si>
    <t>59, Chennai, TN</t>
  </si>
  <si>
    <t>35ABCDE4548F1Z1</t>
  </si>
  <si>
    <t>Sigma Systems Technologies</t>
  </si>
  <si>
    <t>amit.agarwal@sigma.in</t>
  </si>
  <si>
    <t>790, Pune, MH</t>
  </si>
  <si>
    <t>04ABCDE1071F1Z5</t>
  </si>
  <si>
    <t>Everest Traders Solutions</t>
  </si>
  <si>
    <t>aditya.reddy@everest.in</t>
  </si>
  <si>
    <t>516, Bengaluru, KA</t>
  </si>
  <si>
    <t>23ABCDE9440F1Z4</t>
  </si>
  <si>
    <t>aditya.patel@green.in</t>
  </si>
  <si>
    <t>122, Bengaluru, KA</t>
  </si>
  <si>
    <t>06ABCDE9032F1Z8</t>
  </si>
  <si>
    <t>Urban Textiles Works</t>
  </si>
  <si>
    <t>Meera Verma</t>
  </si>
  <si>
    <t>meera.verma@urban.in</t>
  </si>
  <si>
    <t>923, Jaipur, RJ</t>
  </si>
  <si>
    <t>06ABCDE7916F1Z0</t>
  </si>
  <si>
    <t>Metro Consulting India</t>
  </si>
  <si>
    <t>185, Indore, MP</t>
  </si>
  <si>
    <t>25ABCDE4826F1Z7</t>
  </si>
  <si>
    <t>Bright Analytics Pvt Ltd</t>
  </si>
  <si>
    <t>meera.yadav@bright.in</t>
  </si>
  <si>
    <t>169, Indore, MP</t>
  </si>
  <si>
    <t>29ABCDE6297F1Z2</t>
  </si>
  <si>
    <t>Nexus Services India</t>
  </si>
  <si>
    <t>ankit.patel@nexus.in</t>
  </si>
  <si>
    <t>483, Ahmedabad, GJ</t>
  </si>
  <si>
    <t>16ABCDE9318F1Z3</t>
  </si>
  <si>
    <t>Alpha Logistics Corporation</t>
  </si>
  <si>
    <t>Kavya Gupta</t>
  </si>
  <si>
    <t>kavya.gupta@alpha.in</t>
  </si>
  <si>
    <t>344, Chennai, TN</t>
  </si>
  <si>
    <t>34ABCDE6711F1Z2</t>
  </si>
  <si>
    <t>Smart Engineering Group</t>
  </si>
  <si>
    <t>pooja.mishra@smart.in</t>
  </si>
  <si>
    <t>995, Bengaluru, KA</t>
  </si>
  <si>
    <t>07ABCDE4201F1Z6</t>
  </si>
  <si>
    <t>Sky Enterprises India</t>
  </si>
  <si>
    <t>Kavya Singh</t>
  </si>
  <si>
    <t>kavya.singh@sky.in</t>
  </si>
  <si>
    <t>210, Pune, MH</t>
  </si>
  <si>
    <t>07ABCDE2750F1Z4</t>
  </si>
  <si>
    <t>Future Healthcare Solutions</t>
  </si>
  <si>
    <t>720, Jaipur, RJ</t>
  </si>
  <si>
    <t>15ABCDE9199F1Z4</t>
  </si>
  <si>
    <t>Nexus Tech Corporation</t>
  </si>
  <si>
    <t>pooja.yadav@nexus.in</t>
  </si>
  <si>
    <t>15, Jaipur, RJ</t>
  </si>
  <si>
    <t>16ABCDE8045F1Z9</t>
  </si>
  <si>
    <t>Vision Retail Group</t>
  </si>
  <si>
    <t>Nisha Gupta</t>
  </si>
  <si>
    <t>nisha.gupta@vision.in</t>
  </si>
  <si>
    <t>474, Delhi, DL</t>
  </si>
  <si>
    <t>28ABCDE6128F1Z4</t>
  </si>
  <si>
    <t>Urban Manufacturing Group</t>
  </si>
  <si>
    <t>akash.mishra@urban.in</t>
  </si>
  <si>
    <t>170, Kolkata, WB</t>
  </si>
  <si>
    <t>17ABCDE7939F1Z7</t>
  </si>
  <si>
    <t>Nexus Tech Technologies</t>
  </si>
  <si>
    <t>sneha.bansal@nexus.in</t>
  </si>
  <si>
    <t>925, Bengaluru, KA</t>
  </si>
  <si>
    <t>21ABCDE1174F1Z6</t>
  </si>
  <si>
    <t>Everest Traders Pvt Ltd</t>
  </si>
  <si>
    <t>pooja.agarwal@everest.in</t>
  </si>
  <si>
    <t>743, Bengaluru, KA</t>
  </si>
  <si>
    <t>13ABCDE9506F1Z5</t>
  </si>
  <si>
    <t>Urban Energy Solutions</t>
  </si>
  <si>
    <t>varun.patel@urban.in</t>
  </si>
  <si>
    <t>534, Lucknow, UP</t>
  </si>
  <si>
    <t>02ABCDE7060F1Z8</t>
  </si>
  <si>
    <t>Crystal Manufacturing Solutions</t>
  </si>
  <si>
    <t>anjali.bansal@crystal.in</t>
  </si>
  <si>
    <t>536, Jaipur, RJ</t>
  </si>
  <si>
    <t>08ABCDE6824F1Z0</t>
  </si>
  <si>
    <t>Global Foods Technologies</t>
  </si>
  <si>
    <t>Akash Sharma</t>
  </si>
  <si>
    <t>akash.sharma@global.in</t>
  </si>
  <si>
    <t>438, Delhi, DL</t>
  </si>
  <si>
    <t>27ABCDE6769F1Z9</t>
  </si>
  <si>
    <t>Global Traders Group</t>
  </si>
  <si>
    <t>nitin.mishra@global.in</t>
  </si>
  <si>
    <t>234, Indore, MP</t>
  </si>
  <si>
    <t>26ABCDE8571F1Z3</t>
  </si>
  <si>
    <t>Green Enterprises LLP</t>
  </si>
  <si>
    <t>harsh.patel@green.in</t>
  </si>
  <si>
    <t>585, Kolkata, WB</t>
  </si>
  <si>
    <t>15ABCDE3396F1Z5</t>
  </si>
  <si>
    <t>Vision Services India</t>
  </si>
  <si>
    <t>373, Lucknow, UP</t>
  </si>
  <si>
    <t>15ABCDE5381F1Z6</t>
  </si>
  <si>
    <t>Global Manufacturing Corporation</t>
  </si>
  <si>
    <t>828, Chennai, TN</t>
  </si>
  <si>
    <t>18ABCDE6865F1Z3</t>
  </si>
  <si>
    <t>Pioneer Engineering Solutions</t>
  </si>
  <si>
    <t>arjun.mehta@pioneer.in</t>
  </si>
  <si>
    <t>97, Kolkata, WB</t>
  </si>
  <si>
    <t>24ABCDE3502F1Z4</t>
  </si>
  <si>
    <t>Fusion Solutions LLP</t>
  </si>
  <si>
    <t>Ankit Joshi</t>
  </si>
  <si>
    <t>ankit.joshi@fusion.in</t>
  </si>
  <si>
    <t>553, Bengaluru, KA</t>
  </si>
  <si>
    <t>23ABCDE1245F1Z0</t>
  </si>
  <si>
    <t>Future Industries India</t>
  </si>
  <si>
    <t>pooja.yadav@future.in</t>
  </si>
  <si>
    <t>156, Surat, GJ</t>
  </si>
  <si>
    <t>15ABCDE4041F1Z7</t>
  </si>
  <si>
    <t>Dynamic Enterprises Group</t>
  </si>
  <si>
    <t>akash.reddy@dynamic.in</t>
  </si>
  <si>
    <t>634, Bengaluru, KA</t>
  </si>
  <si>
    <t>06ABCDE9986F1Z4</t>
  </si>
  <si>
    <t>Golden Electronics Group</t>
  </si>
  <si>
    <t>Sneha Verma</t>
  </si>
  <si>
    <t>sneha.verma@golden.in</t>
  </si>
  <si>
    <t>697, Lucknow, UP</t>
  </si>
  <si>
    <t>08ABCDE2940F1Z4</t>
  </si>
  <si>
    <t>Vision Retail Corporation</t>
  </si>
  <si>
    <t>arjun.kapoor@vision.in</t>
  </si>
  <si>
    <t>505, Mumbai, MH</t>
  </si>
  <si>
    <t>30ABCDE3366F1Z7</t>
  </si>
  <si>
    <t>Smart Electronics Corporation</t>
  </si>
  <si>
    <t>varun.yadav@smart.in</t>
  </si>
  <si>
    <t>174, Mumbai, MH</t>
  </si>
  <si>
    <t>21ABCDE8667F1Z9</t>
  </si>
  <si>
    <t>Everest Infra India</t>
  </si>
  <si>
    <t>riya.jain@everest.in</t>
  </si>
  <si>
    <t>993, Jaipur, RJ</t>
  </si>
  <si>
    <t>05ABCDE3957F1Z5</t>
  </si>
  <si>
    <t>Crystal Traders Enterprises</t>
  </si>
  <si>
    <t>arjun.kapoor@crystal.in</t>
  </si>
  <si>
    <t>44, Bengaluru, KA</t>
  </si>
  <si>
    <t>14ABCDE7809F1Z2</t>
  </si>
  <si>
    <t>Crystal Traders Works</t>
  </si>
  <si>
    <t>Suresh Kapoor</t>
  </si>
  <si>
    <t>suresh.kapoor@crystal.in</t>
  </si>
  <si>
    <t>577, Indore, MP</t>
  </si>
  <si>
    <t>14ABCDE5655F1Z6</t>
  </si>
  <si>
    <t>Crystal Manufacturing India</t>
  </si>
  <si>
    <t>varun.sharma@crystal.in</t>
  </si>
  <si>
    <t>309, Pune, MH</t>
  </si>
  <si>
    <t>23ABCDE9089F1Z6</t>
  </si>
  <si>
    <t>Crystal Automation India</t>
  </si>
  <si>
    <t>514, Kolkata, WB</t>
  </si>
  <si>
    <t>08ABCDE6421F1Z3</t>
  </si>
  <si>
    <t>Summit Pharma India</t>
  </si>
  <si>
    <t>karan.yadav@summit.in</t>
  </si>
  <si>
    <t>813, Delhi, DL</t>
  </si>
  <si>
    <t>03ABCDE7535F1Z8</t>
  </si>
  <si>
    <t>Rapid Analytics Pvt Ltd</t>
  </si>
  <si>
    <t>akash.singh@rapid.in</t>
  </si>
  <si>
    <t>57, Mumbai, MH</t>
  </si>
  <si>
    <t>13ABCDE8783F1Z9</t>
  </si>
  <si>
    <t>Blue Automation Enterprises</t>
  </si>
  <si>
    <t>Divya Mehta</t>
  </si>
  <si>
    <t>divya.mehta@blue.in</t>
  </si>
  <si>
    <t>651, Bengaluru, KA</t>
  </si>
  <si>
    <t>06ABCDE4481F1Z0</t>
  </si>
  <si>
    <t>Nexus Textiles Corporation</t>
  </si>
  <si>
    <t>neha.bansal@nexus.in</t>
  </si>
  <si>
    <t>441, Mumbai, MH</t>
  </si>
  <si>
    <t>07ABCDE1219F1Z5</t>
  </si>
  <si>
    <t>Bright Logistics Enterprises</t>
  </si>
  <si>
    <t>Aditya Singh</t>
  </si>
  <si>
    <t>aditya.singh@bright.in</t>
  </si>
  <si>
    <t>441, Bengaluru, KA</t>
  </si>
  <si>
    <t>03ABCDE6217F1Z0</t>
  </si>
  <si>
    <t>Infinity Energy Pvt Ltd</t>
  </si>
  <si>
    <t>arjun.yadav@infinity.in</t>
  </si>
  <si>
    <t>854, Mumbai, MH</t>
  </si>
  <si>
    <t>08ABCDE7898F1Z9</t>
  </si>
  <si>
    <t>Rapid Services LLP</t>
  </si>
  <si>
    <t>Amit Bansal</t>
  </si>
  <si>
    <t>amit.bansal@rapid.in</t>
  </si>
  <si>
    <t>616, Surat, GJ</t>
  </si>
  <si>
    <t>10ABCDE8789F1Z6</t>
  </si>
  <si>
    <t>Titan Traders LLP</t>
  </si>
  <si>
    <t>Harsh Kapoor</t>
  </si>
  <si>
    <t>harsh.kapoor@titan.in</t>
  </si>
  <si>
    <t>01ABCDE7995F1Z0</t>
  </si>
  <si>
    <t>Apex Infra LLP</t>
  </si>
  <si>
    <t>Priya Patel</t>
  </si>
  <si>
    <t>priya.patel@apex.in</t>
  </si>
  <si>
    <t>493, Bengaluru, KA</t>
  </si>
  <si>
    <t>02ABCDE5512F1Z9</t>
  </si>
  <si>
    <t>Smart Services Corporation</t>
  </si>
  <si>
    <t>740, Chennai, TN</t>
  </si>
  <si>
    <t>10ABCDE2381F1Z4</t>
  </si>
  <si>
    <t>Titan Pharma Solutions</t>
  </si>
  <si>
    <t>Riya Bansal</t>
  </si>
  <si>
    <t>riya.bansal@titan.in</t>
  </si>
  <si>
    <t>744, Mumbai, MH</t>
  </si>
  <si>
    <t>03ABCDE1186F1Z0</t>
  </si>
  <si>
    <t>Apex Textiles LLP</t>
  </si>
  <si>
    <t>akash.singh@apex.in</t>
  </si>
  <si>
    <t>624, Chennai, TN</t>
  </si>
  <si>
    <t>11ABCDE8968F1Z9</t>
  </si>
  <si>
    <t>Blue Engineering Works</t>
  </si>
  <si>
    <t>ankit.mishra@blue.in</t>
  </si>
  <si>
    <t>703, Lucknow, UP</t>
  </si>
  <si>
    <t>11ABCDE3374F1Z1</t>
  </si>
  <si>
    <t>Metro Textiles Corporation</t>
  </si>
  <si>
    <t>Harsh Reddy</t>
  </si>
  <si>
    <t>harsh.reddy@metro.in</t>
  </si>
  <si>
    <t>404, Lucknow, UP</t>
  </si>
  <si>
    <t>29ABCDE5456F1Z9</t>
  </si>
  <si>
    <t>Crystal Logistics India</t>
  </si>
  <si>
    <t>rahul.yadav@crystal.in</t>
  </si>
  <si>
    <t>831, Chennai, TN</t>
  </si>
  <si>
    <t>22ABCDE1253F1Z2</t>
  </si>
  <si>
    <t>Pioneer Energy Technologies</t>
  </si>
  <si>
    <t>vikas.mehta@pioneer.in</t>
  </si>
  <si>
    <t>395, Kolkata, WB</t>
  </si>
  <si>
    <t>15ABCDE8393F1Z4</t>
  </si>
  <si>
    <t>Apex Engineering India</t>
  </si>
  <si>
    <t>pooja.mehta@apex.in</t>
  </si>
  <si>
    <t>952, Surat, GJ</t>
  </si>
  <si>
    <t>03ABCDE5727F1Z2</t>
  </si>
  <si>
    <t>Sky Foods Enterprises</t>
  </si>
  <si>
    <t>nisha.reddy@sky.in</t>
  </si>
  <si>
    <t>557, Ahmedabad, GJ</t>
  </si>
  <si>
    <t>06ABCDE9847F1Z8</t>
  </si>
  <si>
    <t>Everest Healthcare Group</t>
  </si>
  <si>
    <t>Kavya Joshi</t>
  </si>
  <si>
    <t>kavya.joshi@everest.in</t>
  </si>
  <si>
    <t>631, Pune, MH</t>
  </si>
  <si>
    <t>04ABCDE7479F1Z7</t>
  </si>
  <si>
    <t>Future Foods Pvt Ltd</t>
  </si>
  <si>
    <t>559, Delhi, DL</t>
  </si>
  <si>
    <t>23ABCDE2026F1Z3</t>
  </si>
  <si>
    <t>Rapid Energy Enterprises</t>
  </si>
  <si>
    <t>338, Indore, MP</t>
  </si>
  <si>
    <t>31ABCDE9293F1Z9</t>
  </si>
  <si>
    <t>Golden Consulting Group</t>
  </si>
  <si>
    <t>anjali.verma@golden.in</t>
  </si>
  <si>
    <t>306, Chennai, TN</t>
  </si>
  <si>
    <t>24ABCDE6880F1Z6</t>
  </si>
  <si>
    <t>Core Enterprises Group</t>
  </si>
  <si>
    <t>rahul.joshi@core.in</t>
  </si>
  <si>
    <t>897, Ahmedabad, GJ</t>
  </si>
  <si>
    <t>07ABCDE7089F1Z7</t>
  </si>
  <si>
    <t>Vertex Enterprises Works</t>
  </si>
  <si>
    <t>Divya Sharma</t>
  </si>
  <si>
    <t>divya.sharma@vertex.in</t>
  </si>
  <si>
    <t>541, Pune, MH</t>
  </si>
  <si>
    <t>02ABCDE2541F1Z0</t>
  </si>
  <si>
    <t>ankit.yadav@future.in</t>
  </si>
  <si>
    <t>957, Pune, MH</t>
  </si>
  <si>
    <t>18ABCDE7978F1Z1</t>
  </si>
  <si>
    <t>Orbit Exports Corporation</t>
  </si>
  <si>
    <t>pooja.nair@orbit.in</t>
  </si>
  <si>
    <t>215, Ahmedabad, GJ</t>
  </si>
  <si>
    <t>12ABCDE7196F1Z1</t>
  </si>
  <si>
    <t>varun.jain@nova.in</t>
  </si>
  <si>
    <t>508, Lucknow, UP</t>
  </si>
  <si>
    <t>05ABCDE7510F1Z1</t>
  </si>
  <si>
    <t>Vertex Foods Works</t>
  </si>
  <si>
    <t>ankit.patel@vertex.in</t>
  </si>
  <si>
    <t>989, Delhi, DL</t>
  </si>
  <si>
    <t>33ABCDE7440F1Z2</t>
  </si>
  <si>
    <t>Orbit Systems Works</t>
  </si>
  <si>
    <t>49, Bengaluru, KA</t>
  </si>
  <si>
    <t>17ABCDE6767F1Z0</t>
  </si>
  <si>
    <t>Titan Tech Pvt Ltd</t>
  </si>
  <si>
    <t>pooja.reddy@titan.in</t>
  </si>
  <si>
    <t>767, Chennai, TN</t>
  </si>
  <si>
    <t>31ABCDE1913F1Z1</t>
  </si>
  <si>
    <t>Sky Engineering Pvt Ltd</t>
  </si>
  <si>
    <t>anjali.bansal@sky.in</t>
  </si>
  <si>
    <t>613, Pune, MH</t>
  </si>
  <si>
    <t>29ABCDE2727F1Z7</t>
  </si>
  <si>
    <t>Summit Digital India</t>
  </si>
  <si>
    <t>akash.verma@summit.in</t>
  </si>
  <si>
    <t>398, Lucknow, UP</t>
  </si>
  <si>
    <t>11ABCDE8231F1Z3</t>
  </si>
  <si>
    <t>Sky Infra Pvt Ltd</t>
  </si>
  <si>
    <t>Riya Mishra</t>
  </si>
  <si>
    <t>riya.mishra@sky.in</t>
  </si>
  <si>
    <t>170, Mumbai, MH</t>
  </si>
  <si>
    <t>15ABCDE2274F1Z9</t>
  </si>
  <si>
    <t>Metro Steel Corporation</t>
  </si>
  <si>
    <t>riya.verma@metro.in</t>
  </si>
  <si>
    <t>653, Mumbai, MH</t>
  </si>
  <si>
    <t>05ABCDE8411F1Z5</t>
  </si>
  <si>
    <t>Summit Retail Solutions</t>
  </si>
  <si>
    <t>neha.bansal@summit.in</t>
  </si>
  <si>
    <t>349, Bengaluru, KA</t>
  </si>
  <si>
    <t>15ABCDE1929F1Z2</t>
  </si>
  <si>
    <t>Orbit Analytics Corporation</t>
  </si>
  <si>
    <t>riya.nair@orbit.in</t>
  </si>
  <si>
    <t>438, Pune, MH</t>
  </si>
  <si>
    <t>27ABCDE5042F1Z2</t>
  </si>
  <si>
    <t>Nova Foods India</t>
  </si>
  <si>
    <t>512, Pune, MH</t>
  </si>
  <si>
    <t>07ABCDE6211F1Z7</t>
  </si>
  <si>
    <t>Sterling Traders Corporation</t>
  </si>
  <si>
    <t>Sneha Sharma</t>
  </si>
  <si>
    <t>sneha.sharma@sterling.in</t>
  </si>
  <si>
    <t>957, Kolkata, WB</t>
  </si>
  <si>
    <t>14ABCDE8822F1Z4</t>
  </si>
  <si>
    <t>Zenith Foods Group</t>
  </si>
  <si>
    <t>meera.mehta@zenith.in</t>
  </si>
  <si>
    <t>957, Hyderabad, TS</t>
  </si>
  <si>
    <t>16ABCDE2598F1Z6</t>
  </si>
  <si>
    <t>Sigma Manufacturing Corporation</t>
  </si>
  <si>
    <t>Rahul Nair</t>
  </si>
  <si>
    <t>rahul.nair@sigma.in</t>
  </si>
  <si>
    <t>157, Pune, MH</t>
  </si>
  <si>
    <t>02ABCDE8243F1Z8</t>
  </si>
  <si>
    <t>Crystal Automation Corporation</t>
  </si>
  <si>
    <t>riya.sharma@crystal.in</t>
  </si>
  <si>
    <t>303, Indore, MP</t>
  </si>
  <si>
    <t>12ABCDE6899F1Z6</t>
  </si>
  <si>
    <t>Prime Manufacturing Group</t>
  </si>
  <si>
    <t>pooja.yadav@prime.in</t>
  </si>
  <si>
    <t>873, Bengaluru, KA</t>
  </si>
  <si>
    <t>12ABCDE9546F1Z3</t>
  </si>
  <si>
    <t>Silver Consulting LLP</t>
  </si>
  <si>
    <t>priya.joshi@silver.in</t>
  </si>
  <si>
    <t>517, Chennai, TN</t>
  </si>
  <si>
    <t>18ABCDE3872F1Z3</t>
  </si>
  <si>
    <t>Bright Packaging Group</t>
  </si>
  <si>
    <t>ankit.singh@bright.in</t>
  </si>
  <si>
    <t>77, Mumbai, MH</t>
  </si>
  <si>
    <t>34ABCDE7686F1Z0</t>
  </si>
  <si>
    <t>Core Digital Works</t>
  </si>
  <si>
    <t>nitin.nair@core.in</t>
  </si>
  <si>
    <t>102, Lucknow, UP</t>
  </si>
  <si>
    <t>01ABCDE7709F1Z7</t>
  </si>
  <si>
    <t>Bright Infra India</t>
  </si>
  <si>
    <t>47, Ahmedabad, GJ</t>
  </si>
  <si>
    <t>11ABCDE7081F1Z9</t>
  </si>
  <si>
    <t>Apex Digital Enterprises</t>
  </si>
  <si>
    <t>riya.agarwal@apex.in</t>
  </si>
  <si>
    <t>375, Delhi, DL</t>
  </si>
  <si>
    <t>16ABCDE6258F1Z6</t>
  </si>
  <si>
    <t>Blue Logistics LLP</t>
  </si>
  <si>
    <t>kavya.kapoor@blue.in</t>
  </si>
  <si>
    <t>36, Indore, MP</t>
  </si>
  <si>
    <t>34ABCDE9803F1Z2</t>
  </si>
  <si>
    <t>Nova Retail LLP</t>
  </si>
  <si>
    <t>vikas.yadav@nova.in</t>
  </si>
  <si>
    <t>115, Bengaluru, KA</t>
  </si>
  <si>
    <t>20ABCDE5103F1Z8</t>
  </si>
  <si>
    <t>Nova Tech LLP</t>
  </si>
  <si>
    <t>Aditya Mishra</t>
  </si>
  <si>
    <t>aditya.mishra@nova.in</t>
  </si>
  <si>
    <t>28, Pune, MH</t>
  </si>
  <si>
    <t>37ABCDE8601F1Z8</t>
  </si>
  <si>
    <t>Smart Pharma Solutions</t>
  </si>
  <si>
    <t>neha.jain@smart.in</t>
  </si>
  <si>
    <t>193, Chennai, TN</t>
  </si>
  <si>
    <t>03ABCDE5473F1Z1</t>
  </si>
  <si>
    <t>Nexus Electronics Enterprises</t>
  </si>
  <si>
    <t>Pooja Verma</t>
  </si>
  <si>
    <t>pooja.verma@nexus.in</t>
  </si>
  <si>
    <t>09ABCDE9873F1Z9</t>
  </si>
  <si>
    <t>Royal Retail Corporation</t>
  </si>
  <si>
    <t>Nisha Yadav</t>
  </si>
  <si>
    <t>nisha.yadav@royal.in</t>
  </si>
  <si>
    <t>416, Chennai, TN</t>
  </si>
  <si>
    <t>11ABCDE1303F1Z6</t>
  </si>
  <si>
    <t>Vision Packaging Enterprises</t>
  </si>
  <si>
    <t>356, Ahmedabad, GJ</t>
  </si>
  <si>
    <t>26ABCDE4938F1Z5</t>
  </si>
  <si>
    <t>Infinity Energy Works</t>
  </si>
  <si>
    <t>akash.nair@infinity.in</t>
  </si>
  <si>
    <t>342, Mumbai, MH</t>
  </si>
  <si>
    <t>34ABCDE3402F1Z5</t>
  </si>
  <si>
    <t>Smart Manufacturing Pvt Ltd</t>
  </si>
  <si>
    <t>meera.verma@smart.in</t>
  </si>
  <si>
    <t>80, Bengaluru, KA</t>
  </si>
  <si>
    <t>21ABCDE8094F1Z3</t>
  </si>
  <si>
    <t>Matrix Infra Pvt Ltd</t>
  </si>
  <si>
    <t>vikas.gupta@matrix.in</t>
  </si>
  <si>
    <t>30ABCDE1766F1Z0</t>
  </si>
  <si>
    <t>Prime Textiles India</t>
  </si>
  <si>
    <t>nisha.yadav@prime.in</t>
  </si>
  <si>
    <t>565, Kolkata, WB</t>
  </si>
  <si>
    <t>03ABCDE2646F1Z4</t>
  </si>
  <si>
    <t>Zenith Automation Pvt Ltd</t>
  </si>
  <si>
    <t>deepak.patel@zenith.in</t>
  </si>
  <si>
    <t>125, Pune, MH</t>
  </si>
  <si>
    <t>20ABCDE6694F1Z2</t>
  </si>
  <si>
    <t>Zenith Solutions Enterprises</t>
  </si>
  <si>
    <t>pooja.verma@zenith.in</t>
  </si>
  <si>
    <t>556, Surat, GJ</t>
  </si>
  <si>
    <t>10ABCDE8208F1Z1</t>
  </si>
  <si>
    <t>Matrix Enterprises India</t>
  </si>
  <si>
    <t>deepak.yadav@matrix.in</t>
  </si>
  <si>
    <t>06ABCDE9950F1Z4</t>
  </si>
  <si>
    <t>Nexus Packaging Group</t>
  </si>
  <si>
    <t>harsh.mehta@nexus.in</t>
  </si>
  <si>
    <t>737, Indore, MP</t>
  </si>
  <si>
    <t>24ABCDE8551F1Z8</t>
  </si>
  <si>
    <t>Pioneer Packaging Solutions</t>
  </si>
  <si>
    <t>arjun.nair@pioneer.in</t>
  </si>
  <si>
    <t>258, Mumbai, MH</t>
  </si>
  <si>
    <t>22ABCDE4630F1Z3</t>
  </si>
  <si>
    <t>Matrix Analytics Technologies</t>
  </si>
  <si>
    <t>ankit.mehta@matrix.in</t>
  </si>
  <si>
    <t>176, Ahmedabad, GJ</t>
  </si>
  <si>
    <t>16ABCDE6307F1Z8</t>
  </si>
  <si>
    <t>Summit Electronics India</t>
  </si>
  <si>
    <t>nitin.joshi@summit.in</t>
  </si>
  <si>
    <t>68, Pune, MH</t>
  </si>
  <si>
    <t>02ABCDE3597F1Z8</t>
  </si>
  <si>
    <t>Orbit Infra Pvt Ltd</t>
  </si>
  <si>
    <t>Sneha Mehta</t>
  </si>
  <si>
    <t>sneha.mehta@orbit.in</t>
  </si>
  <si>
    <t>372, Lucknow, UP</t>
  </si>
  <si>
    <t>07ABCDE9534F1Z3</t>
  </si>
  <si>
    <t>Sky Manufacturing Works</t>
  </si>
  <si>
    <t>nisha.jain@sky.in</t>
  </si>
  <si>
    <t>217, Kolkata, WB</t>
  </si>
  <si>
    <t>18ABCDE9483F1Z1</t>
  </si>
  <si>
    <t>Sterling Foods Corporation</t>
  </si>
  <si>
    <t>Deepak Nair</t>
  </si>
  <si>
    <t>deepak.nair@sterling.in</t>
  </si>
  <si>
    <t>430, Mumbai, MH</t>
  </si>
  <si>
    <t>36ABCDE2924F1Z7</t>
  </si>
  <si>
    <t>Rapid Energy Corporation</t>
  </si>
  <si>
    <t>deepak.nair@rapid.in</t>
  </si>
  <si>
    <t>903, Pune, MH</t>
  </si>
  <si>
    <t>08ABCDE7218F1Z7</t>
  </si>
  <si>
    <t>Nexus Logistics Works</t>
  </si>
  <si>
    <t>578, Indore, MP</t>
  </si>
  <si>
    <t>25ABCDE6275F1Z0</t>
  </si>
  <si>
    <t>Everest Healthcare Solutions</t>
  </si>
  <si>
    <t>Nitin Gupta</t>
  </si>
  <si>
    <t>nitin.gupta@everest.in</t>
  </si>
  <si>
    <t>832, Pune, MH</t>
  </si>
  <si>
    <t>10ABCDE8137F1Z9</t>
  </si>
  <si>
    <t>Fusion Energy Group</t>
  </si>
  <si>
    <t>priya.nair@fusion.in</t>
  </si>
  <si>
    <t>873, Ahmedabad, GJ</t>
  </si>
  <si>
    <t>16ABCDE6338F1Z3</t>
  </si>
  <si>
    <t>Infinity Tech Pvt Ltd</t>
  </si>
  <si>
    <t>rahul.singh@infinity.in</t>
  </si>
  <si>
    <t>317, Lucknow, UP</t>
  </si>
  <si>
    <t>35ABCDE6118F1Z8</t>
  </si>
  <si>
    <t>Infinity Automation Enterprises</t>
  </si>
  <si>
    <t>Kavya Bansal</t>
  </si>
  <si>
    <t>kavya.bansal@infinity.in</t>
  </si>
  <si>
    <t>485, Jaipur, RJ</t>
  </si>
  <si>
    <t>23ABCDE1667F1Z9</t>
  </si>
  <si>
    <t>Dynamic Services Pvt Ltd</t>
  </si>
  <si>
    <t>nisha.verma@dynamic.in</t>
  </si>
  <si>
    <t>111, Hyderabad, TS</t>
  </si>
  <si>
    <t>27ABCDE7134F1Z8</t>
  </si>
  <si>
    <t>Rapid Textiles Enterprises</t>
  </si>
  <si>
    <t>ankit.gupta@rapid.in</t>
  </si>
  <si>
    <t>508, Jaipur, RJ</t>
  </si>
  <si>
    <t>26ABCDE8211F1Z9</t>
  </si>
  <si>
    <t>Crystal Pharma Enterprises</t>
  </si>
  <si>
    <t>kavya.nair@crystal.in</t>
  </si>
  <si>
    <t>381, Bengaluru, KA</t>
  </si>
  <si>
    <t>21ABCDE7007F1Z1</t>
  </si>
  <si>
    <t>Pioneer Automation Corporation</t>
  </si>
  <si>
    <t>neha.bansal@pioneer.in</t>
  </si>
  <si>
    <t>361, Chennai, TN</t>
  </si>
  <si>
    <t>33ABCDE7895F1Z2</t>
  </si>
  <si>
    <t>Core Logistics Enterprises</t>
  </si>
  <si>
    <t>Anjali Agarwal</t>
  </si>
  <si>
    <t>anjali.agarwal@core.in</t>
  </si>
  <si>
    <t>196, Jaipur, RJ</t>
  </si>
  <si>
    <t>04ABCDE2746F1Z5</t>
  </si>
  <si>
    <t>Prime Pharma Technologies</t>
  </si>
  <si>
    <t>amit.reddy@prime.in</t>
  </si>
  <si>
    <t>737, Pune, MH</t>
  </si>
  <si>
    <t>36ABCDE1064F1Z4</t>
  </si>
  <si>
    <t>nisha.sharma@rapid.in</t>
  </si>
  <si>
    <t>519, Bengaluru, KA</t>
  </si>
  <si>
    <t>36ABCDE5358F1Z8</t>
  </si>
  <si>
    <t>Matrix Enterprises Group</t>
  </si>
  <si>
    <t>170, Bengaluru, KA</t>
  </si>
  <si>
    <t>34ABCDE9347F1Z1</t>
  </si>
  <si>
    <t>Nova Traders LLP</t>
  </si>
  <si>
    <t>Rohit Agarwal</t>
  </si>
  <si>
    <t>rohit.agarwal@nova.in</t>
  </si>
  <si>
    <t>637, Lucknow, UP</t>
  </si>
  <si>
    <t>28ABCDE2017F1Z0</t>
  </si>
  <si>
    <t>Summit Enterprises Group</t>
  </si>
  <si>
    <t>meera.singh@summit.in</t>
  </si>
  <si>
    <t>283, Mumbai, MH</t>
  </si>
  <si>
    <t>07ABCDE2032F1Z5</t>
  </si>
  <si>
    <t>Golden Services Technologies</t>
  </si>
  <si>
    <t>amit.sharma@golden.in</t>
  </si>
  <si>
    <t>606, Jaipur, RJ</t>
  </si>
  <si>
    <t>03ABCDE8203F1Z0</t>
  </si>
  <si>
    <t>Smart Retail Group</t>
  </si>
  <si>
    <t>rahul.gupta@smart.in</t>
  </si>
  <si>
    <t>332, Bengaluru, KA</t>
  </si>
  <si>
    <t>01ABCDE8461F1Z4</t>
  </si>
  <si>
    <t>Vision Packaging India</t>
  </si>
  <si>
    <t>arjun.verma@vision.in</t>
  </si>
  <si>
    <t>409, Kolkata, WB</t>
  </si>
  <si>
    <t>15ABCDE7774F1Z4</t>
  </si>
  <si>
    <t>Rapid Pharma Solutions</t>
  </si>
  <si>
    <t>amit.reddy@rapid.in</t>
  </si>
  <si>
    <t>187, Delhi, DL</t>
  </si>
  <si>
    <t>11ABCDE6871F1Z6</t>
  </si>
  <si>
    <t>Silver Tech India</t>
  </si>
  <si>
    <t>akash.agarwal@silver.in</t>
  </si>
  <si>
    <t>353, Delhi, DL</t>
  </si>
  <si>
    <t>35ABCDE7317F1Z5</t>
  </si>
  <si>
    <t>Rapid Textiles LLP</t>
  </si>
  <si>
    <t>neha.mehta@rapid.in</t>
  </si>
  <si>
    <t>577, Ahmedabad, GJ</t>
  </si>
  <si>
    <t>16ABCDE7346F1Z3</t>
  </si>
  <si>
    <t>Alpha Infra Pvt Ltd</t>
  </si>
  <si>
    <t>suresh.reddy@alpha.in</t>
  </si>
  <si>
    <t>732, Hyderabad, TS</t>
  </si>
  <si>
    <t>09ABCDE2517F1Z3</t>
  </si>
  <si>
    <t>Alpha Analytics Corporation</t>
  </si>
  <si>
    <t>varun.kapoor@alpha.in</t>
  </si>
  <si>
    <t>24ABCDE6782F1Z3</t>
  </si>
  <si>
    <t>Rapid Healthcare Group</t>
  </si>
  <si>
    <t>242, Hyderabad, TS</t>
  </si>
  <si>
    <t>29ABCDE3145F1Z4</t>
  </si>
  <si>
    <t>Orbit Energy Works</t>
  </si>
  <si>
    <t>varun.patel@orbit.in</t>
  </si>
  <si>
    <t>532, Surat, GJ</t>
  </si>
  <si>
    <t>14ABCDE3056F1Z1</t>
  </si>
  <si>
    <t>Matrix Industries Enterprises</t>
  </si>
  <si>
    <t>pooja.mishra@matrix.in</t>
  </si>
  <si>
    <t>39, Jaipur, RJ</t>
  </si>
  <si>
    <t>37ABCDE3376F1Z4</t>
  </si>
  <si>
    <t>Apex Healthcare LLP</t>
  </si>
  <si>
    <t>Aditya Gupta</t>
  </si>
  <si>
    <t>aditya.gupta@apex.in</t>
  </si>
  <si>
    <t>13ABCDE2785F1Z1</t>
  </si>
  <si>
    <t>Titan Digital Enterprises</t>
  </si>
  <si>
    <t>nitin.patel@titan.in</t>
  </si>
  <si>
    <t>328, Chennai, TN</t>
  </si>
  <si>
    <t>06ABCDE4709F1Z4</t>
  </si>
  <si>
    <t>Bright Pharma Technologies</t>
  </si>
  <si>
    <t>803, Lucknow, UP</t>
  </si>
  <si>
    <t>09ABCDE5530F1Z2</t>
  </si>
  <si>
    <t>Nova Digital Works</t>
  </si>
  <si>
    <t>deepak.sharma@nova.in</t>
  </si>
  <si>
    <t>726, Chennai, TN</t>
  </si>
  <si>
    <t>30ABCDE5070F1Z6</t>
  </si>
  <si>
    <t>Dynamic Textiles LLP</t>
  </si>
  <si>
    <t>Rohit Singh</t>
  </si>
  <si>
    <t>rohit.singh@dynamic.in</t>
  </si>
  <si>
    <t>944, Pune, MH</t>
  </si>
  <si>
    <t>15ABCDE1662F1Z6</t>
  </si>
  <si>
    <t>Prime Packaging Corporation</t>
  </si>
  <si>
    <t>deepak.patel@prime.in</t>
  </si>
  <si>
    <t>169, Pune, MH</t>
  </si>
  <si>
    <t>25ABCDE1642F1Z8</t>
  </si>
  <si>
    <t>Pioneer Textiles Corporation</t>
  </si>
  <si>
    <t>ankit.nair@pioneer.in</t>
  </si>
  <si>
    <t>519, Surat, GJ</t>
  </si>
  <si>
    <t>34ABCDE5173F1Z6</t>
  </si>
  <si>
    <t>Dynamic Tech LLP</t>
  </si>
  <si>
    <t>Harsh Singh</t>
  </si>
  <si>
    <t>harsh.singh@dynamic.in</t>
  </si>
  <si>
    <t>631, Surat, GJ</t>
  </si>
  <si>
    <t>04ABCDE5005F1Z1</t>
  </si>
  <si>
    <t>Prime Engineering Group</t>
  </si>
  <si>
    <t>meera.mishra@prime.in</t>
  </si>
  <si>
    <t>721, Jaipur, RJ</t>
  </si>
  <si>
    <t>26ABCDE4617F1Z4</t>
  </si>
  <si>
    <t>Core Industries Works</t>
  </si>
  <si>
    <t>deepak.kapoor@core.in</t>
  </si>
  <si>
    <t>525, Chennai, TN</t>
  </si>
  <si>
    <t>29ABCDE9333F1Z0</t>
  </si>
  <si>
    <t>Future Manufacturing Enterprises</t>
  </si>
  <si>
    <t>Karan Kapoor</t>
  </si>
  <si>
    <t>karan.kapoor@future.in</t>
  </si>
  <si>
    <t>54, Hyderabad, TS</t>
  </si>
  <si>
    <t>36ABCDE5279F1Z2</t>
  </si>
  <si>
    <t>NextGen Systems Group</t>
  </si>
  <si>
    <t>varun.singh@nextgen.in</t>
  </si>
  <si>
    <t>182, Mumbai, MH</t>
  </si>
  <si>
    <t>23ABCDE6689F1Z6</t>
  </si>
  <si>
    <t>Vertex Consulting India</t>
  </si>
  <si>
    <t>karan.gupta@vertex.in</t>
  </si>
  <si>
    <t>508, Chennai, TN</t>
  </si>
  <si>
    <t>31ABCDE4897F1Z3</t>
  </si>
  <si>
    <t>Apex Automation Solutions</t>
  </si>
  <si>
    <t>karan.joshi@apex.in</t>
  </si>
  <si>
    <t>724, Ahmedabad, GJ</t>
  </si>
  <si>
    <t>20ABCDE3185F1Z2</t>
  </si>
  <si>
    <t>Smart Engineering LLP</t>
  </si>
  <si>
    <t>varun.mehta@smart.in</t>
  </si>
  <si>
    <t>703, Bengaluru, KA</t>
  </si>
  <si>
    <t>10ABCDE8555F1Z6</t>
  </si>
  <si>
    <t>Future Traders India</t>
  </si>
  <si>
    <t>04ABCDE5601F1Z4</t>
  </si>
  <si>
    <t>Golden Traders India</t>
  </si>
  <si>
    <t>riya.verma@golden.in</t>
  </si>
  <si>
    <t>465, Ahmedabad, GJ</t>
  </si>
  <si>
    <t>30ABCDE6946F1Z4</t>
  </si>
  <si>
    <t>Green Analytics LLP</t>
  </si>
  <si>
    <t>rahul.sharma@green.in</t>
  </si>
  <si>
    <t>95, Lucknow, UP</t>
  </si>
  <si>
    <t>22ABCDE5332F1Z1</t>
  </si>
  <si>
    <t>Everest Manufacturing Solutions</t>
  </si>
  <si>
    <t>anjali.reddy@everest.in</t>
  </si>
  <si>
    <t>18, Ahmedabad, GJ</t>
  </si>
  <si>
    <t>23ABCDE2490F1Z4</t>
  </si>
  <si>
    <t>Global Textiles Group</t>
  </si>
  <si>
    <t>priya.gupta@global.in</t>
  </si>
  <si>
    <t>35, Mumbai, MH</t>
  </si>
  <si>
    <t>26ABCDE3377F1Z4</t>
  </si>
  <si>
    <t>Metro Systems Enterprises</t>
  </si>
  <si>
    <t>nisha.gupta@metro.in</t>
  </si>
  <si>
    <t>860, Chennai, TN</t>
  </si>
  <si>
    <t>20ABCDE6352F1Z6</t>
  </si>
  <si>
    <t>Silver Textiles Works</t>
  </si>
  <si>
    <t>Suresh Patel</t>
  </si>
  <si>
    <t>suresh.patel@silver.in</t>
  </si>
  <si>
    <t>574, Bengaluru, KA</t>
  </si>
  <si>
    <t>24ABCDE5154F1Z3</t>
  </si>
  <si>
    <t>Blue Solutions LLP</t>
  </si>
  <si>
    <t>ankit.reddy@blue.in</t>
  </si>
  <si>
    <t>422, Chennai, TN</t>
  </si>
  <si>
    <t>04ABCDE4546F1Z7</t>
  </si>
  <si>
    <t>Pioneer Packaging LLP</t>
  </si>
  <si>
    <t>karan.mishra@pioneer.in</t>
  </si>
  <si>
    <t>151, Bengaluru, KA</t>
  </si>
  <si>
    <t>29ABCDE7576F1Z1</t>
  </si>
  <si>
    <t>Prime Services Solutions</t>
  </si>
  <si>
    <t>Anjali Patel</t>
  </si>
  <si>
    <t>anjali.patel@prime.in</t>
  </si>
  <si>
    <t>12, Ahmedabad, GJ</t>
  </si>
  <si>
    <t>03ABCDE9376F1Z6</t>
  </si>
  <si>
    <t>Sky Logistics LLP</t>
  </si>
  <si>
    <t>nisha.sharma@sky.in</t>
  </si>
  <si>
    <t>441, Chennai, TN</t>
  </si>
  <si>
    <t>22ABCDE2027F1Z7</t>
  </si>
  <si>
    <t>Apex Infra Corporation</t>
  </si>
  <si>
    <t>kavya.gupta@apex.in</t>
  </si>
  <si>
    <t>14, Pune, MH</t>
  </si>
  <si>
    <t>29ABCDE6703F1Z9</t>
  </si>
  <si>
    <t>Golden Electronics LLP</t>
  </si>
  <si>
    <t>448, Lucknow, UP</t>
  </si>
  <si>
    <t>35ABCDE3529F1Z6</t>
  </si>
  <si>
    <t>Vertex Solutions Works</t>
  </si>
  <si>
    <t>divya.bansal@vertex.in</t>
  </si>
  <si>
    <t>594, Surat, GJ</t>
  </si>
  <si>
    <t>27ABCDE7039F1Z7</t>
  </si>
  <si>
    <t>Bright Logistics Works</t>
  </si>
  <si>
    <t>sneha.joshi@bright.in</t>
  </si>
  <si>
    <t>878, Mumbai, MH</t>
  </si>
  <si>
    <t>13ABCDE4645F1Z7</t>
  </si>
  <si>
    <t>Titan Energy Technologies</t>
  </si>
  <si>
    <t>meera.agarwal@titan.in</t>
  </si>
  <si>
    <t>461, Surat, GJ</t>
  </si>
  <si>
    <t>26ABCDE5277F1Z1</t>
  </si>
  <si>
    <t>Royal Systems Group</t>
  </si>
  <si>
    <t>varun.mishra@royal.in</t>
  </si>
  <si>
    <t>892, Hyderabad, TS</t>
  </si>
  <si>
    <t>17ABCDE2555F1Z3</t>
  </si>
  <si>
    <t>Core Infra India</t>
  </si>
  <si>
    <t>Aditya Kapoor</t>
  </si>
  <si>
    <t>aditya.kapoor@core.in</t>
  </si>
  <si>
    <t>479, Indore, MP</t>
  </si>
  <si>
    <t>15ABCDE9867F1Z9</t>
  </si>
  <si>
    <t>Zenith Steel Enterprises</t>
  </si>
  <si>
    <t>705, Jaipur, RJ</t>
  </si>
  <si>
    <t>05ABCDE8201F1Z2</t>
  </si>
  <si>
    <t>Matrix Analytics Enterprises</t>
  </si>
  <si>
    <t>Aditya Nair</t>
  </si>
  <si>
    <t>aditya.nair@matrix.in</t>
  </si>
  <si>
    <t>651, Delhi, DL</t>
  </si>
  <si>
    <t>33ABCDE2672F1Z7</t>
  </si>
  <si>
    <t>Rapid Analytics Corporation</t>
  </si>
  <si>
    <t>anjali.yadav@rapid.in</t>
  </si>
  <si>
    <t>150, Delhi, DL</t>
  </si>
  <si>
    <t>24ABCDE1942F1Z6</t>
  </si>
  <si>
    <t>Smart Solutions Works</t>
  </si>
  <si>
    <t>rahul.sharma@smart.in</t>
  </si>
  <si>
    <t>14ABCDE8531F1Z4</t>
  </si>
  <si>
    <t>Zenith Pharma Corporation</t>
  </si>
  <si>
    <t>deepak.joshi@zenith.in</t>
  </si>
  <si>
    <t>903, Surat, GJ</t>
  </si>
  <si>
    <t>13ABCDE2879F1Z5</t>
  </si>
  <si>
    <t>Green Digital Works</t>
  </si>
  <si>
    <t>kavya.bansal@green.in</t>
  </si>
  <si>
    <t>135, Pune, MH</t>
  </si>
  <si>
    <t>16ABCDE7111F1Z8</t>
  </si>
  <si>
    <t>Core Digital Solutions</t>
  </si>
  <si>
    <t>rahul.nair@core.in</t>
  </si>
  <si>
    <t>112, Ahmedabad, GJ</t>
  </si>
  <si>
    <t>23ABCDE9992F1Z5</t>
  </si>
  <si>
    <t>Zenith Solutions Group</t>
  </si>
  <si>
    <t>pooja.jain@zenith.in</t>
  </si>
  <si>
    <t>467, Chennai, TN</t>
  </si>
  <si>
    <t>02ABCDE8206F1Z1</t>
  </si>
  <si>
    <t>Nova Electronics LLP</t>
  </si>
  <si>
    <t>priya.reddy@nova.in</t>
  </si>
  <si>
    <t>163, Bengaluru, KA</t>
  </si>
  <si>
    <t>36ABCDE5751F1Z6</t>
  </si>
  <si>
    <t>Sky Energy India</t>
  </si>
  <si>
    <t>varun.mishra@sky.in</t>
  </si>
  <si>
    <t>981, Pune, MH</t>
  </si>
  <si>
    <t>29ABCDE1226F1Z0</t>
  </si>
  <si>
    <t>Crystal Enterprises Solutions</t>
  </si>
  <si>
    <t>86, Mumbai, MH</t>
  </si>
  <si>
    <t>12ABCDE7431F1Z7</t>
  </si>
  <si>
    <t>Green Pharma Solutions</t>
  </si>
  <si>
    <t>akash.patel@green.in</t>
  </si>
  <si>
    <t>87, Indore, MP</t>
  </si>
  <si>
    <t>24ABCDE6394F1Z8</t>
  </si>
  <si>
    <t>Future Logistics Corporation</t>
  </si>
  <si>
    <t>183, Hyderabad, TS</t>
  </si>
  <si>
    <t>24ABCDE8663F1Z5</t>
  </si>
  <si>
    <t>Nexus Healthcare Works</t>
  </si>
  <si>
    <t>suresh.sharma@nexus.in</t>
  </si>
  <si>
    <t>505, Surat, GJ</t>
  </si>
  <si>
    <t>22ABCDE4712F1Z0</t>
  </si>
  <si>
    <t>Smart Services Pvt Ltd</t>
  </si>
  <si>
    <t>Harsh Gupta</t>
  </si>
  <si>
    <t>harsh.gupta@smart.in</t>
  </si>
  <si>
    <t>157, Kolkata, WB</t>
  </si>
  <si>
    <t>18ABCDE7298F1Z4</t>
  </si>
  <si>
    <t>Elite Automation India</t>
  </si>
  <si>
    <t>meera.yadav@elite.in</t>
  </si>
  <si>
    <t>608, Indore, MP</t>
  </si>
  <si>
    <t>09ABCDE1558F1Z8</t>
  </si>
  <si>
    <t>Urban Consulting Technologies</t>
  </si>
  <si>
    <t>harsh.yadav@urban.in</t>
  </si>
  <si>
    <t>381, Delhi, DL</t>
  </si>
  <si>
    <t>19ABCDE4900F1Z2</t>
  </si>
  <si>
    <t>Elite Logistics Works</t>
  </si>
  <si>
    <t>kavya.jain@elite.in</t>
  </si>
  <si>
    <t>261, Kolkata, WB</t>
  </si>
  <si>
    <t>23ABCDE7651F1Z5</t>
  </si>
  <si>
    <t>Blue Pharma Works</t>
  </si>
  <si>
    <t>nisha.jain@blue.in</t>
  </si>
  <si>
    <t>525, Lucknow, UP</t>
  </si>
  <si>
    <t>24ABCDE4988F1Z3</t>
  </si>
  <si>
    <t>Dynamic Enterprises Corporation</t>
  </si>
  <si>
    <t>Anjali Sharma</t>
  </si>
  <si>
    <t>anjali.sharma@dynamic.in</t>
  </si>
  <si>
    <t>424, Lucknow, UP</t>
  </si>
  <si>
    <t>29ABCDE7489F1Z9</t>
  </si>
  <si>
    <t>Pioneer Systems LLP</t>
  </si>
  <si>
    <t>Karan Singh</t>
  </si>
  <si>
    <t>karan.singh@pioneer.in</t>
  </si>
  <si>
    <t>268, Pune, MH</t>
  </si>
  <si>
    <t>37ABCDE6578F1Z1</t>
  </si>
  <si>
    <t>ankit.gupta@golden.in</t>
  </si>
  <si>
    <t>371, Surat, GJ</t>
  </si>
  <si>
    <t>30ABCDE6848F1Z6</t>
  </si>
  <si>
    <t>Elite Electronics Works</t>
  </si>
  <si>
    <t>rohit.singh@elite.in</t>
  </si>
  <si>
    <t>33, Indore, MP</t>
  </si>
  <si>
    <t>11ABCDE5391F1Z3</t>
  </si>
  <si>
    <t>Nova Consulting Pvt Ltd</t>
  </si>
  <si>
    <t>akash.kapoor@nova.in</t>
  </si>
  <si>
    <t>299, Surat, GJ</t>
  </si>
  <si>
    <t>33ABCDE2631F1Z3</t>
  </si>
  <si>
    <t>Smart Steel Pvt Ltd</t>
  </si>
  <si>
    <t>karan.yadav@smart.in</t>
  </si>
  <si>
    <t>85, Delhi, DL</t>
  </si>
  <si>
    <t>37ABCDE6589F1Z2</t>
  </si>
  <si>
    <t>Apex Consulting India</t>
  </si>
  <si>
    <t>varun.bansal@apex.in</t>
  </si>
  <si>
    <t>340, Kolkata, WB</t>
  </si>
  <si>
    <t>02ABCDE4477F1Z5</t>
  </si>
  <si>
    <t>Everest Healthcare Works</t>
  </si>
  <si>
    <t>rohit.sharma@everest.in</t>
  </si>
  <si>
    <t>99, Mumbai, MH</t>
  </si>
  <si>
    <t>22ABCDE9099F1Z9</t>
  </si>
  <si>
    <t>Rapid Foods Solutions</t>
  </si>
  <si>
    <t>amit.sharma@rapid.in</t>
  </si>
  <si>
    <t>679, Surat, GJ</t>
  </si>
  <si>
    <t>21ABCDE1917F1Z6</t>
  </si>
  <si>
    <t>Crystal Systems LLP</t>
  </si>
  <si>
    <t>amit.gupta@crystal.in</t>
  </si>
  <si>
    <t>552, Bengaluru, KA</t>
  </si>
  <si>
    <t>06ABCDE6862F1Z5</t>
  </si>
  <si>
    <t>Infinity Digital Enterprises</t>
  </si>
  <si>
    <t>nisha.yadav@infinity.in</t>
  </si>
  <si>
    <t>683, Bengaluru, KA</t>
  </si>
  <si>
    <t>37ABCDE6420F1Z3</t>
  </si>
  <si>
    <t>Global Pharma Solutions</t>
  </si>
  <si>
    <t>rahul.reddy@global.in</t>
  </si>
  <si>
    <t>677, Pune, MH</t>
  </si>
  <si>
    <t>36ABCDE8424F1Z8</t>
  </si>
  <si>
    <t>Alpha Digital Enterprises</t>
  </si>
  <si>
    <t>sneha.singh@alpha.in</t>
  </si>
  <si>
    <t>19, Pune, MH</t>
  </si>
  <si>
    <t>36ABCDE8794F1Z1</t>
  </si>
  <si>
    <t>akash.reddy@metro.in</t>
  </si>
  <si>
    <t>649, Mumbai, MH</t>
  </si>
  <si>
    <t>09ABCDE3002F1Z0</t>
  </si>
  <si>
    <t>NextGen Automation Group</t>
  </si>
  <si>
    <t>varun.reddy@nextgen.in</t>
  </si>
  <si>
    <t>972, Pune, MH</t>
  </si>
  <si>
    <t>24ABCDE3446F1Z2</t>
  </si>
  <si>
    <t>Green Automation Pvt Ltd</t>
  </si>
  <si>
    <t>Meera Reddy</t>
  </si>
  <si>
    <t>meera.reddy@green.in</t>
  </si>
  <si>
    <t>462, Hyderabad, TS</t>
  </si>
  <si>
    <t>32ABCDE4492F1Z5</t>
  </si>
  <si>
    <t>Fusion Services Group</t>
  </si>
  <si>
    <t>suresh.reddy@fusion.in</t>
  </si>
  <si>
    <t>685, Delhi, DL</t>
  </si>
  <si>
    <t>01ABCDE2072F1Z6</t>
  </si>
  <si>
    <t>Dynamic Solutions Group</t>
  </si>
  <si>
    <t>ankit.mehta@dynamic.in</t>
  </si>
  <si>
    <t>977, Jaipur, RJ</t>
  </si>
  <si>
    <t>15ABCDE1503F1Z4</t>
  </si>
  <si>
    <t>Nova Foods Technologies</t>
  </si>
  <si>
    <t>vikas.patel@nova.in</t>
  </si>
  <si>
    <t>343, Hyderabad, TS</t>
  </si>
  <si>
    <t>28ABCDE5565F1Z4</t>
  </si>
  <si>
    <t>Everest Consulting Corporation</t>
  </si>
  <si>
    <t>arjun.nair@everest.in</t>
  </si>
  <si>
    <t>987, Pune, MH</t>
  </si>
  <si>
    <t>09ABCDE5916F1Z4</t>
  </si>
  <si>
    <t>Vertex Engineering Pvt Ltd</t>
  </si>
  <si>
    <t>arjun.nair@vertex.in</t>
  </si>
  <si>
    <t>337, Bengaluru, KA</t>
  </si>
  <si>
    <t>29ABCDE4474F1Z9</t>
  </si>
  <si>
    <t>Blue Consulting Works</t>
  </si>
  <si>
    <t>rahul.reddy@blue.in</t>
  </si>
  <si>
    <t>196, Lucknow, UP</t>
  </si>
  <si>
    <t>28ABCDE3290F1Z4</t>
  </si>
  <si>
    <t>Nova Traders Corporation</t>
  </si>
  <si>
    <t>amit.gupta@nova.in</t>
  </si>
  <si>
    <t>524, Bengaluru, KA</t>
  </si>
  <si>
    <t>23ABCDE2598F1Z2</t>
  </si>
  <si>
    <t>Nexus Infra Technologies</t>
  </si>
  <si>
    <t>Priya Mehta</t>
  </si>
  <si>
    <t>priya.mehta@nexus.in</t>
  </si>
  <si>
    <t>950, Kolkata, WB</t>
  </si>
  <si>
    <t>26ABCDE6499F1Z0</t>
  </si>
  <si>
    <t>Smart Consulting Pvt Ltd</t>
  </si>
  <si>
    <t>247, Surat, GJ</t>
  </si>
  <si>
    <t>37ABCDE8053F1Z1</t>
  </si>
  <si>
    <t>Nova Solutions Works</t>
  </si>
  <si>
    <t>priya.joshi@nova.in</t>
  </si>
  <si>
    <t>990, Delhi, DL</t>
  </si>
  <si>
    <t>32ABCDE3225F1Z8</t>
  </si>
  <si>
    <t>Infinity Tech Corporation</t>
  </si>
  <si>
    <t>vikas.bansal@infinity.in</t>
  </si>
  <si>
    <t>658, Bengaluru, KA</t>
  </si>
  <si>
    <t>35ABCDE9203F1Z1</t>
  </si>
  <si>
    <t>Elite Digital Group</t>
  </si>
  <si>
    <t>vikas.mishra@elite.in</t>
  </si>
  <si>
    <t>730, Pune, MH</t>
  </si>
  <si>
    <t>12ABCDE1249F1Z4</t>
  </si>
  <si>
    <t>Alpha Industries Pvt Ltd</t>
  </si>
  <si>
    <t>anjali.agarwal@alpha.in</t>
  </si>
  <si>
    <t>818, Jaipur, RJ</t>
  </si>
  <si>
    <t>36ABCDE6941F1Z4</t>
  </si>
  <si>
    <t>Apex Engineering Pvt Ltd</t>
  </si>
  <si>
    <t>harsh.kapoor@apex.in</t>
  </si>
  <si>
    <t>571, Pune, MH</t>
  </si>
  <si>
    <t>22ABCDE7723F1Z4</t>
  </si>
  <si>
    <t>Rapid Manufacturing Works</t>
  </si>
  <si>
    <t>varun.mehta@rapid.in</t>
  </si>
  <si>
    <t>406, Bengaluru, KA</t>
  </si>
  <si>
    <t>25ABCDE7716F1Z2</t>
  </si>
  <si>
    <t>Apex Retail Enterprises</t>
  </si>
  <si>
    <t>pooja.mishra@apex.in</t>
  </si>
  <si>
    <t>396, Chennai, TN</t>
  </si>
  <si>
    <t>16ABCDE4250F1Z1</t>
  </si>
  <si>
    <t>Vertex Packaging Pvt Ltd</t>
  </si>
  <si>
    <t>aditya.sharma@vertex.in</t>
  </si>
  <si>
    <t>581, Chennai, TN</t>
  </si>
  <si>
    <t>21ABCDE8248F1Z8</t>
  </si>
  <si>
    <t>Arjun Mishra</t>
  </si>
  <si>
    <t>arjun.mishra@summit.in</t>
  </si>
  <si>
    <t>22ABCDE9948F1Z6</t>
  </si>
  <si>
    <t>Smart Textiles Technologies</t>
  </si>
  <si>
    <t>meera.mishra@smart.in</t>
  </si>
  <si>
    <t>548, Jaipur, RJ</t>
  </si>
  <si>
    <t>18ABCDE6277F1Z1</t>
  </si>
  <si>
    <t>Global Foods Solutions</t>
  </si>
  <si>
    <t>kavya.jain@global.in</t>
  </si>
  <si>
    <t>498, Surat, GJ</t>
  </si>
  <si>
    <t>37ABCDE4624F1Z2</t>
  </si>
  <si>
    <t>Elite Exports Enterprises</t>
  </si>
  <si>
    <t>meera.agarwal@elite.in</t>
  </si>
  <si>
    <t>183, Indore, MP</t>
  </si>
  <si>
    <t>24ABCDE4909F1Z2</t>
  </si>
  <si>
    <t>Sky Infra Solutions</t>
  </si>
  <si>
    <t>rohit.bansal@sky.in</t>
  </si>
  <si>
    <t>898, Kolkata, WB</t>
  </si>
  <si>
    <t>03ABCDE6275F1Z6</t>
  </si>
  <si>
    <t>Metro Manufacturing LLP</t>
  </si>
  <si>
    <t>deepak.gupta@metro.in</t>
  </si>
  <si>
    <t>394, Pune, MH</t>
  </si>
  <si>
    <t>07ABCDE6976F1Z5</t>
  </si>
  <si>
    <t>Core Automation India</t>
  </si>
  <si>
    <t>riya.bansal@core.in</t>
  </si>
  <si>
    <t>415, Pune, MH</t>
  </si>
  <si>
    <t>19ABCDE8310F1Z1</t>
  </si>
  <si>
    <t>Orbit Textiles Solutions</t>
  </si>
  <si>
    <t>Kavya Reddy</t>
  </si>
  <si>
    <t>kavya.reddy@orbit.in</t>
  </si>
  <si>
    <t>163, Indore, MP</t>
  </si>
  <si>
    <t>01ABCDE3138F1Z5</t>
  </si>
  <si>
    <t>Everest Automation Group</t>
  </si>
  <si>
    <t>divya.jain@everest.in</t>
  </si>
  <si>
    <t>830, Ahmedabad, GJ</t>
  </si>
  <si>
    <t>25ABCDE5142F1Z0</t>
  </si>
  <si>
    <t>Titan Consulting Pvt Ltd</t>
  </si>
  <si>
    <t>ankit.singh@titan.in</t>
  </si>
  <si>
    <t>192, Surat, GJ</t>
  </si>
  <si>
    <t>20ABCDE9923F1Z4</t>
  </si>
  <si>
    <t>Summit Foods Group</t>
  </si>
  <si>
    <t>pooja.nair@summit.in</t>
  </si>
  <si>
    <t>547, Delhi, DL</t>
  </si>
  <si>
    <t>32ABCDE2455F1Z3</t>
  </si>
  <si>
    <t>Bright Manufacturing India</t>
  </si>
  <si>
    <t>Divya Reddy</t>
  </si>
  <si>
    <t>divya.reddy@bright.in</t>
  </si>
  <si>
    <t>29ABCDE7155F1Z5</t>
  </si>
  <si>
    <t>Prime Pharma India</t>
  </si>
  <si>
    <t>deepak.mehta@prime.in</t>
  </si>
  <si>
    <t>840, Surat, GJ</t>
  </si>
  <si>
    <t>17ABCDE6772F1Z3</t>
  </si>
  <si>
    <t>Fusion Energy Corporation</t>
  </si>
  <si>
    <t>391, Surat, GJ</t>
  </si>
  <si>
    <t>05ABCDE4328F1Z5</t>
  </si>
  <si>
    <t>Elite Industries Solutions</t>
  </si>
  <si>
    <t>akash.mehta@elite.in</t>
  </si>
  <si>
    <t>518, Jaipur, RJ</t>
  </si>
  <si>
    <t>02ABCDE2766F1Z9</t>
  </si>
  <si>
    <t>deepak.kapoor@nexus.in</t>
  </si>
  <si>
    <t>460, Delhi, DL</t>
  </si>
  <si>
    <t>26ABCDE9048F1Z2</t>
  </si>
  <si>
    <t>Matrix Exports Pvt Ltd</t>
  </si>
  <si>
    <t>Nisha Patel</t>
  </si>
  <si>
    <t>nisha.patel@matrix.in</t>
  </si>
  <si>
    <t>421, Hyderabad, TS</t>
  </si>
  <si>
    <t>35ABCDE1664F1Z4</t>
  </si>
  <si>
    <t>Titan Engineering Technologies</t>
  </si>
  <si>
    <t>riya.verma@titan.in</t>
  </si>
  <si>
    <t>878, Hyderabad, TS</t>
  </si>
  <si>
    <t>05ABCDE1253F1Z1</t>
  </si>
  <si>
    <t>Everest Industries Group</t>
  </si>
  <si>
    <t>ankit.kapoor@everest.in</t>
  </si>
  <si>
    <t>214, Kolkata, WB</t>
  </si>
  <si>
    <t>22ABCDE8910F1Z0</t>
  </si>
  <si>
    <t>Titan Pharma Technologies</t>
  </si>
  <si>
    <t>ankit.gupta@titan.in</t>
  </si>
  <si>
    <t>902, Mumbai, MH</t>
  </si>
  <si>
    <t>10ABCDE6250F1Z5</t>
  </si>
  <si>
    <t>rohit.agarwal@golden.in</t>
  </si>
  <si>
    <t>278, Indore, MP</t>
  </si>
  <si>
    <t>06ABCDE6128F1Z6</t>
  </si>
  <si>
    <t>Global Infra India</t>
  </si>
  <si>
    <t>varun.mehta@global.in</t>
  </si>
  <si>
    <t>04ABCDE6027F1Z4</t>
  </si>
  <si>
    <t>Smart Healthcare Technologies</t>
  </si>
  <si>
    <t>varun.singh@smart.in</t>
  </si>
  <si>
    <t>144, Hyderabad, TS</t>
  </si>
  <si>
    <t>04ABCDE4399F1Z8</t>
  </si>
  <si>
    <t>Metro Services Solutions</t>
  </si>
  <si>
    <t>Aditya Yadav</t>
  </si>
  <si>
    <t>aditya.yadav@metro.in</t>
  </si>
  <si>
    <t>962, Ahmedabad, GJ</t>
  </si>
  <si>
    <t>22ABCDE4281F1Z7</t>
  </si>
  <si>
    <t>Titan Infra Pvt Ltd</t>
  </si>
  <si>
    <t>kavya.jain@titan.in</t>
  </si>
  <si>
    <t>79, Indore, MP</t>
  </si>
  <si>
    <t>27ABCDE6301F1Z0</t>
  </si>
  <si>
    <t>Alpha Retail Solutions</t>
  </si>
  <si>
    <t>nitin.patel@alpha.in</t>
  </si>
  <si>
    <t>831, Hyderabad, TS</t>
  </si>
  <si>
    <t>30ABCDE7651F1Z7</t>
  </si>
  <si>
    <t>Future Consulting Pvt Ltd</t>
  </si>
  <si>
    <t>60, Delhi, DL</t>
  </si>
  <si>
    <t>09ABCDE2178F1Z9</t>
  </si>
  <si>
    <t>Everest Systems Pvt Ltd</t>
  </si>
  <si>
    <t>kavya.agarwal@everest.in</t>
  </si>
  <si>
    <t>520, Bengaluru, KA</t>
  </si>
  <si>
    <t>15ABCDE5831F1Z3</t>
  </si>
  <si>
    <t>NextGen Systems Corporation</t>
  </si>
  <si>
    <t>aditya.patel@nextgen.in</t>
  </si>
  <si>
    <t>486, Delhi, DL</t>
  </si>
  <si>
    <t>07ABCDE4303F1Z1</t>
  </si>
  <si>
    <t>Service Name</t>
  </si>
  <si>
    <t>Unit</t>
  </si>
  <si>
    <t>S001</t>
  </si>
  <si>
    <t>Project</t>
  </si>
  <si>
    <t>S002</t>
  </si>
  <si>
    <t>Finance Dashboard</t>
  </si>
  <si>
    <t>S003</t>
  </si>
  <si>
    <t>HR Dashboard</t>
  </si>
  <si>
    <t>S004</t>
  </si>
  <si>
    <t>Inventory Dashboard</t>
  </si>
  <si>
    <t>S005</t>
  </si>
  <si>
    <t>Marketing Dashboard</t>
  </si>
  <si>
    <t>S006</t>
  </si>
  <si>
    <t>Executive Dashboard</t>
  </si>
  <si>
    <t>S007</t>
  </si>
  <si>
    <t>KPI Dashboard</t>
  </si>
  <si>
    <t>S008</t>
  </si>
  <si>
    <t>Retail Dashboard</t>
  </si>
  <si>
    <t>S009</t>
  </si>
  <si>
    <t>Manufacturing Dashboard</t>
  </si>
  <si>
    <t>S010</t>
  </si>
  <si>
    <t>Project Dashboard</t>
  </si>
  <si>
    <t>S011</t>
  </si>
  <si>
    <t>Invoice Template</t>
  </si>
  <si>
    <t>S012</t>
  </si>
  <si>
    <t>S013</t>
  </si>
  <si>
    <t>Budget Planner</t>
  </si>
  <si>
    <t>S014</t>
  </si>
  <si>
    <t>Attendance Tracker</t>
  </si>
  <si>
    <t>S015</t>
  </si>
  <si>
    <t>Payroll Tracker</t>
  </si>
  <si>
    <t>S016</t>
  </si>
  <si>
    <t>CRM Tracker</t>
  </si>
  <si>
    <t>S017</t>
  </si>
  <si>
    <t>Quotation Template</t>
  </si>
  <si>
    <t>S018</t>
  </si>
  <si>
    <t>MIS Report</t>
  </si>
  <si>
    <t>S019</t>
  </si>
  <si>
    <t>Sales Tracker</t>
  </si>
  <si>
    <t>S020</t>
  </si>
  <si>
    <t>Purchase Tracker</t>
  </si>
  <si>
    <t>S021</t>
  </si>
  <si>
    <t>Excel VBA Automation</t>
  </si>
  <si>
    <t>S022</t>
  </si>
  <si>
    <t>n8n Workflow</t>
  </si>
  <si>
    <t>S023</t>
  </si>
  <si>
    <t>Power Automate Flow</t>
  </si>
  <si>
    <t>S024</t>
  </si>
  <si>
    <t>Email Automation</t>
  </si>
  <si>
    <t>S025</t>
  </si>
  <si>
    <t>Reporting Automation</t>
  </si>
  <si>
    <t>S026</t>
  </si>
  <si>
    <t>Invoice Automation</t>
  </si>
  <si>
    <t>S027</t>
  </si>
  <si>
    <t>File Automation</t>
  </si>
  <si>
    <t>S028</t>
  </si>
  <si>
    <t>Data Automation</t>
  </si>
  <si>
    <t>S029</t>
  </si>
  <si>
    <t>API Integration</t>
  </si>
  <si>
    <t>S030</t>
  </si>
  <si>
    <t>Workflow Automation</t>
  </si>
  <si>
    <t>S031</t>
  </si>
  <si>
    <t>Power BI Sales</t>
  </si>
  <si>
    <t>Power BI</t>
  </si>
  <si>
    <t>S032</t>
  </si>
  <si>
    <t>Power BI Finance</t>
  </si>
  <si>
    <t>S033</t>
  </si>
  <si>
    <t>Power BI HR</t>
  </si>
  <si>
    <t>S034</t>
  </si>
  <si>
    <t>Power BI Inventory</t>
  </si>
  <si>
    <t>S035</t>
  </si>
  <si>
    <t>Power BI Executive</t>
  </si>
  <si>
    <t>S036</t>
  </si>
  <si>
    <t>Power BI Marketing</t>
  </si>
  <si>
    <t>S037</t>
  </si>
  <si>
    <t>Power BI Operations</t>
  </si>
  <si>
    <t>S038</t>
  </si>
  <si>
    <t>Power BI Procurement</t>
  </si>
  <si>
    <t>S039</t>
  </si>
  <si>
    <t>Power BI CRM</t>
  </si>
  <si>
    <t>S040</t>
  </si>
  <si>
    <t>Power BI KPI</t>
  </si>
  <si>
    <t>S041</t>
  </si>
  <si>
    <t>S042</t>
  </si>
  <si>
    <t>Cash Flow Model</t>
  </si>
  <si>
    <t>S043</t>
  </si>
  <si>
    <t>Profit Analysis</t>
  </si>
  <si>
    <t>S044</t>
  </si>
  <si>
    <t>Break-even Analysis</t>
  </si>
  <si>
    <t>S045</t>
  </si>
  <si>
    <t>Budget Forecast</t>
  </si>
  <si>
    <t>S046</t>
  </si>
  <si>
    <t>Variance Analysis</t>
  </si>
  <si>
    <t>S047</t>
  </si>
  <si>
    <t>GST Report</t>
  </si>
  <si>
    <t>S048</t>
  </si>
  <si>
    <t>P&amp;L Report</t>
  </si>
  <si>
    <t>S049</t>
  </si>
  <si>
    <t>Balance Sheet Model</t>
  </si>
  <si>
    <t>S050</t>
  </si>
  <si>
    <t>Investment Tracker</t>
  </si>
  <si>
    <t>S051</t>
  </si>
  <si>
    <t>Stock Management</t>
  </si>
  <si>
    <t>S052</t>
  </si>
  <si>
    <t>Warehouse Tracker</t>
  </si>
  <si>
    <t>S053</t>
  </si>
  <si>
    <t>Barcode Inventory</t>
  </si>
  <si>
    <t>S054</t>
  </si>
  <si>
    <t>Purchase Register</t>
  </si>
  <si>
    <t>S055</t>
  </si>
  <si>
    <t>Stock Ageing</t>
  </si>
  <si>
    <t>S056</t>
  </si>
  <si>
    <t>Inventory Forecast</t>
  </si>
  <si>
    <t>S057</t>
  </si>
  <si>
    <t>Supplier Tracker</t>
  </si>
  <si>
    <t>S058</t>
  </si>
  <si>
    <t>Asset Register</t>
  </si>
  <si>
    <t>S059</t>
  </si>
  <si>
    <t>Material Planning</t>
  </si>
  <si>
    <t>S060</t>
  </si>
  <si>
    <t>Dispatch Tracker</t>
  </si>
  <si>
    <t>S061</t>
  </si>
  <si>
    <t>Standard Automation 61</t>
  </si>
  <si>
    <t>S062</t>
  </si>
  <si>
    <t>Basic Tracker 62</t>
  </si>
  <si>
    <t>S063</t>
  </si>
  <si>
    <t>Advanced Tracker 63</t>
  </si>
  <si>
    <t>S064</t>
  </si>
  <si>
    <t>Standard Template 64</t>
  </si>
  <si>
    <t>S065</t>
  </si>
  <si>
    <t>Enterprise Template 65</t>
  </si>
  <si>
    <t>S066</t>
  </si>
  <si>
    <t>Basic Report 66</t>
  </si>
  <si>
    <t>S067</t>
  </si>
  <si>
    <t>Basic Automation 67</t>
  </si>
  <si>
    <t>S068</t>
  </si>
  <si>
    <t>Enterprise Dashboard 68</t>
  </si>
  <si>
    <t>S069</t>
  </si>
  <si>
    <t>Pro Tracker 69</t>
  </si>
  <si>
    <t>S070</t>
  </si>
  <si>
    <t>Pro Automation 70</t>
  </si>
  <si>
    <t>S071</t>
  </si>
  <si>
    <t>Enterprise Dashboard 71</t>
  </si>
  <si>
    <t>S072</t>
  </si>
  <si>
    <t>Custom Dashboard 72</t>
  </si>
  <si>
    <t>S073</t>
  </si>
  <si>
    <t>Standard Template 73</t>
  </si>
  <si>
    <t>S074</t>
  </si>
  <si>
    <t>Custom Dashboard 74</t>
  </si>
  <si>
    <t>S075</t>
  </si>
  <si>
    <t>Standard Tracker 75</t>
  </si>
  <si>
    <t>S076</t>
  </si>
  <si>
    <t>Premium Tracker 76</t>
  </si>
  <si>
    <t>S077</t>
  </si>
  <si>
    <t>Standard Automation 77</t>
  </si>
  <si>
    <t>S078</t>
  </si>
  <si>
    <t>Premium Automation 78</t>
  </si>
  <si>
    <t>S079</t>
  </si>
  <si>
    <t>Standard Automation 79</t>
  </si>
  <si>
    <t>S080</t>
  </si>
  <si>
    <t>Custom Automation 80</t>
  </si>
  <si>
    <t>S081</t>
  </si>
  <si>
    <t>Standard Dashboard 81</t>
  </si>
  <si>
    <t>S082</t>
  </si>
  <si>
    <t>Standard Template 82</t>
  </si>
  <si>
    <t>S083</t>
  </si>
  <si>
    <t>Standard Automation 83</t>
  </si>
  <si>
    <t>S084</t>
  </si>
  <si>
    <t>Premium Report 84</t>
  </si>
  <si>
    <t>S085</t>
  </si>
  <si>
    <t>Enterprise Automation 85</t>
  </si>
  <si>
    <t>S086</t>
  </si>
  <si>
    <t>Lite Report 86</t>
  </si>
  <si>
    <t>S087</t>
  </si>
  <si>
    <t>Advanced Report 87</t>
  </si>
  <si>
    <t>S088</t>
  </si>
  <si>
    <t>Standard Dashboard 88</t>
  </si>
  <si>
    <t>S089</t>
  </si>
  <si>
    <t>Custom Report 89</t>
  </si>
  <si>
    <t>S090</t>
  </si>
  <si>
    <t>Advanced Dashboard 90</t>
  </si>
  <si>
    <t>S091</t>
  </si>
  <si>
    <t>Premium Automation 91</t>
  </si>
  <si>
    <t>S092</t>
  </si>
  <si>
    <t>Lite Report 92</t>
  </si>
  <si>
    <t>S093</t>
  </si>
  <si>
    <t>Enterprise Report 93</t>
  </si>
  <si>
    <t>S094</t>
  </si>
  <si>
    <t>Standard Report 94</t>
  </si>
  <si>
    <t>S095</t>
  </si>
  <si>
    <t>Advanced Report 95</t>
  </si>
  <si>
    <t>S096</t>
  </si>
  <si>
    <t>Basic Template 96</t>
  </si>
  <si>
    <t>S097</t>
  </si>
  <si>
    <t>Pro Dashboard 97</t>
  </si>
  <si>
    <t>S098</t>
  </si>
  <si>
    <t>Premium Automation 98</t>
  </si>
  <si>
    <t>S099</t>
  </si>
  <si>
    <t>Custom Report 99</t>
  </si>
  <si>
    <t>S100</t>
  </si>
  <si>
    <t>Pro Tracker 100</t>
  </si>
  <si>
    <t>Amount</t>
  </si>
  <si>
    <t>Row Labels</t>
  </si>
  <si>
    <t xml:space="preserve">Paid </t>
  </si>
  <si>
    <t xml:space="preserve">Pending </t>
  </si>
  <si>
    <t>Sum of Amount</t>
  </si>
  <si>
    <t>Jul</t>
  </si>
  <si>
    <t>Aug</t>
  </si>
  <si>
    <t>Sep</t>
  </si>
  <si>
    <t>Oct</t>
  </si>
  <si>
    <t>Nov</t>
  </si>
  <si>
    <t>Dec</t>
  </si>
  <si>
    <r>
      <t xml:space="preserve">Invoice Command Centre                                                                                                                                                                                                            </t>
    </r>
    <r>
      <rPr>
        <b/>
        <sz val="11"/>
        <color rgb="FF1D1D1F"/>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</si>
</sst>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quot;₹&quot;\ #,##0"/>
    <numFmt numFmtId="165" formatCode="_ [$₹-4009]\ * #,##0.00_ ;_ [$₹-4009]\ * \-#,##0.00_ ;_ [$₹-4009]\ * &quot;-&quot;??_ ;_ @_ "/>
    <numFmt numFmtId="166" formatCode="&quot;₹&quot;\ #,##0.00"/>
    <numFmt numFmtId="167" formatCode="_ [$₹-4009]\ * #,##0_ ;_ [$₹-4009]\ * \-#,##0_ ;_ [$₹-4009]\ * &quot;-&quot;??_ ;_ @_ "/>
  </numFmts>
  <fonts count="14" x14ac:knownFonts="1">
    <font>
      <sz val="11"/>
      <color theme="1"/>
      <name val="Aptos Narrow"/>
      <family val="2"/>
      <scheme val="minor"/>
    </font>
    <font>
      <u/>
      <sz val="11"/>
      <color theme="10"/>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20"/>
      <color theme="1"/>
      <name val="Aptos Narrow"/>
      <family val="2"/>
      <scheme val="minor"/>
    </font>
    <font>
      <b/>
      <sz val="20"/>
      <color theme="0"/>
      <name val="Aptos Narrow"/>
      <family val="2"/>
      <scheme val="minor"/>
    </font>
    <font>
      <b/>
      <sz val="24"/>
      <color theme="3" tint="9.9978637043366805E-2"/>
      <name val="Aptos Narrow"/>
      <family val="2"/>
      <scheme val="minor"/>
    </font>
    <font>
      <sz val="11"/>
      <color rgb="FF000000"/>
      <name val="Calibri"/>
      <family val="2"/>
    </font>
    <font>
      <sz val="14"/>
      <color rgb="FF111827"/>
      <name val="Aptos Narrow"/>
      <family val="2"/>
      <scheme val="minor"/>
    </font>
    <font>
      <b/>
      <sz val="24"/>
      <color rgb="FF1D1D1F"/>
      <name val="Aptos Narrow"/>
      <family val="2"/>
      <scheme val="minor"/>
    </font>
    <font>
      <b/>
      <sz val="11"/>
      <color rgb="FF1D1D1F"/>
      <name val="Aptos Narrow"/>
      <family val="2"/>
      <scheme val="minor"/>
    </font>
    <font>
      <b/>
      <sz val="11"/>
      <color rgb="FF000000"/>
      <name val="Calibri"/>
      <family val="2"/>
    </font>
  </fonts>
  <fills count="10">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theme="0"/>
        <bgColor indexed="64"/>
      </patternFill>
    </fill>
    <fill>
      <patternFill patternType="solid">
        <fgColor rgb="FFF5F7FA"/>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4">
    <xf numFmtId="0" fontId="0" fillId="0" borderId="0"/>
    <xf numFmtId="0" fontId="1" fillId="0" borderId="0" applyNumberForma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53">
    <xf numFmtId="0" fontId="0" fillId="0" borderId="0" xfId="0"/>
    <xf numFmtId="1" fontId="0" fillId="0" borderId="0" xfId="0" applyNumberFormat="1"/>
    <xf numFmtId="164" fontId="0" fillId="0" borderId="0" xfId="0" applyNumberFormat="1"/>
    <xf numFmtId="165" fontId="0" fillId="0" borderId="0" xfId="0" applyNumberFormat="1"/>
    <xf numFmtId="0" fontId="5" fillId="3" borderId="1" xfId="0" applyFont="1" applyFill="1" applyBorder="1"/>
    <xf numFmtId="0" fontId="4" fillId="4" borderId="0" xfId="0" applyFont="1" applyFill="1"/>
    <xf numFmtId="0" fontId="0" fillId="0" borderId="1" xfId="0" applyBorder="1"/>
    <xf numFmtId="14" fontId="0" fillId="0" borderId="0" xfId="0" applyNumberFormat="1"/>
    <xf numFmtId="167" fontId="0" fillId="0" borderId="0" xfId="2" applyNumberFormat="1" applyFont="1"/>
    <xf numFmtId="167" fontId="0" fillId="0" borderId="1" xfId="2" applyNumberFormat="1" applyFont="1" applyBorder="1"/>
    <xf numFmtId="9" fontId="0" fillId="0" borderId="0" xfId="3" applyFont="1"/>
    <xf numFmtId="9" fontId="0" fillId="0" borderId="1" xfId="3" applyFont="1" applyBorder="1"/>
    <xf numFmtId="167" fontId="0" fillId="0" borderId="0" xfId="0" applyNumberFormat="1"/>
    <xf numFmtId="167" fontId="0" fillId="0" borderId="1" xfId="0" applyNumberFormat="1" applyBorder="1"/>
    <xf numFmtId="167" fontId="5" fillId="0" borderId="1" xfId="0" applyNumberFormat="1" applyFont="1" applyBorder="1"/>
    <xf numFmtId="0" fontId="9" fillId="0" borderId="0" xfId="0" applyFont="1"/>
    <xf numFmtId="0" fontId="0" fillId="6" borderId="0" xfId="0" applyFill="1"/>
    <xf numFmtId="0" fontId="10" fillId="6" borderId="0" xfId="0" applyFont="1" applyFill="1" applyAlignment="1">
      <alignment horizontal="left"/>
    </xf>
    <xf numFmtId="0" fontId="0" fillId="0" borderId="3" xfId="0" applyBorder="1"/>
    <xf numFmtId="0" fontId="0" fillId="0" borderId="4" xfId="0" applyBorder="1"/>
    <xf numFmtId="0" fontId="4" fillId="2" borderId="5" xfId="0" applyFont="1" applyFill="1" applyBorder="1"/>
    <xf numFmtId="0" fontId="4" fillId="2" borderId="6" xfId="0" applyFont="1" applyFill="1" applyBorder="1"/>
    <xf numFmtId="167" fontId="4" fillId="2" borderId="6" xfId="2" applyNumberFormat="1" applyFont="1" applyFill="1" applyBorder="1"/>
    <xf numFmtId="9" fontId="4" fillId="2" borderId="6" xfId="3" applyFont="1" applyFill="1" applyBorder="1"/>
    <xf numFmtId="167" fontId="4" fillId="2" borderId="6" xfId="0" applyNumberFormat="1" applyFont="1" applyFill="1" applyBorder="1"/>
    <xf numFmtId="0" fontId="4" fillId="2" borderId="7" xfId="0" applyFont="1" applyFill="1" applyBorder="1"/>
    <xf numFmtId="0" fontId="0" fillId="0" borderId="8" xfId="0" applyBorder="1"/>
    <xf numFmtId="0" fontId="0" fillId="0" borderId="9" xfId="0" applyBorder="1"/>
    <xf numFmtId="167" fontId="0" fillId="0" borderId="9" xfId="2" applyNumberFormat="1" applyFont="1" applyBorder="1"/>
    <xf numFmtId="9" fontId="0" fillId="0" borderId="9" xfId="3" applyFont="1" applyBorder="1"/>
    <xf numFmtId="167" fontId="0" fillId="0" borderId="9" xfId="0" applyNumberFormat="1" applyBorder="1"/>
    <xf numFmtId="0" fontId="0" fillId="0" borderId="10" xfId="0" applyBorder="1"/>
    <xf numFmtId="0" fontId="0" fillId="0" borderId="0" xfId="0" pivotButton="1"/>
    <xf numFmtId="0" fontId="0" fillId="0" borderId="0" xfId="0" applyAlignment="1">
      <alignment horizontal="left"/>
    </xf>
    <xf numFmtId="0" fontId="9" fillId="8" borderId="11" xfId="0" applyFont="1" applyFill="1" applyBorder="1"/>
    <xf numFmtId="0" fontId="9" fillId="0" borderId="11" xfId="0" applyFont="1" applyBorder="1"/>
    <xf numFmtId="0" fontId="13" fillId="7" borderId="13" xfId="0" applyFont="1" applyFill="1" applyBorder="1"/>
    <xf numFmtId="0" fontId="13" fillId="7" borderId="12" xfId="0" applyFont="1" applyFill="1" applyBorder="1"/>
    <xf numFmtId="0" fontId="13" fillId="7" borderId="14" xfId="0" applyFont="1" applyFill="1" applyBorder="1"/>
    <xf numFmtId="0" fontId="9" fillId="5" borderId="11" xfId="0" applyFont="1" applyFill="1" applyBorder="1"/>
    <xf numFmtId="0" fontId="0" fillId="5" borderId="0" xfId="0" applyFill="1"/>
    <xf numFmtId="0" fontId="9" fillId="9" borderId="11" xfId="0" applyFont="1" applyFill="1" applyBorder="1"/>
    <xf numFmtId="14" fontId="13" fillId="7" borderId="12" xfId="0" applyNumberFormat="1" applyFont="1" applyFill="1" applyBorder="1"/>
    <xf numFmtId="0" fontId="0" fillId="5" borderId="1" xfId="0" applyFill="1" applyBorder="1"/>
    <xf numFmtId="1" fontId="0" fillId="5" borderId="1" xfId="0" applyNumberFormat="1" applyFill="1" applyBorder="1"/>
    <xf numFmtId="0" fontId="1" fillId="5" borderId="1" xfId="1" applyFill="1" applyBorder="1" applyAlignment="1"/>
    <xf numFmtId="166" fontId="0" fillId="5" borderId="1" xfId="0" applyNumberFormat="1" applyFill="1" applyBorder="1"/>
    <xf numFmtId="9" fontId="0" fillId="5" borderId="1" xfId="0" applyNumberFormat="1" applyFill="1" applyBorder="1" applyAlignment="1">
      <alignment horizontal="center" vertical="center"/>
    </xf>
    <xf numFmtId="0" fontId="0" fillId="5" borderId="1" xfId="0" applyFill="1" applyBorder="1" applyAlignment="1">
      <alignment horizontal="center"/>
    </xf>
    <xf numFmtId="0" fontId="7" fillId="2" borderId="0" xfId="0" applyFont="1" applyFill="1" applyAlignment="1">
      <alignment horizontal="center" vertical="center"/>
    </xf>
    <xf numFmtId="0" fontId="8" fillId="0" borderId="0" xfId="0" applyFont="1" applyAlignment="1">
      <alignment horizontal="right"/>
    </xf>
    <xf numFmtId="0" fontId="6" fillId="0" borderId="0" xfId="0" applyFont="1" applyAlignment="1">
      <alignment horizontal="center" vertical="center"/>
    </xf>
    <xf numFmtId="0" fontId="11" fillId="5" borderId="2" xfId="0" applyFont="1" applyFill="1" applyBorder="1" applyAlignment="1">
      <alignment horizontal="left" vertical="center"/>
    </xf>
  </cellXfs>
  <cellStyles count="4">
    <cellStyle name="Currency" xfId="2" builtinId="4"/>
    <cellStyle name="Hyperlink" xfId="1" builtinId="8"/>
    <cellStyle name="Normal" xfId="0" builtinId="0"/>
    <cellStyle name="Percent" xfId="3" builtinId="5"/>
  </cellStyles>
  <dxfs count="43">
    <dxf>
      <font>
        <b val="0"/>
        <i val="0"/>
        <strike val="0"/>
        <condense val="0"/>
        <extend val="0"/>
        <outline val="0"/>
        <shadow val="0"/>
        <u val="none"/>
        <vertAlign val="baseline"/>
        <sz val="11"/>
        <color rgb="FF000000"/>
        <name val="Calibri"/>
        <family val="2"/>
        <scheme val="none"/>
      </font>
      <border diagonalUp="0" diagonalDown="0">
        <left/>
        <right/>
        <top style="thin">
          <color theme="4" tint="0.39997558519241921"/>
        </top>
        <bottom style="thin">
          <color theme="4" tint="0.39997558519241921"/>
        </bottom>
        <vertical/>
        <horizontal/>
      </border>
    </dxf>
    <dxf>
      <numFmt numFmtId="19" formatCode="dd/mm/yyyy"/>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rgb="FF000000"/>
        <name val="Calibri"/>
        <family val="2"/>
        <scheme val="none"/>
      </font>
      <fill>
        <patternFill patternType="solid">
          <fgColor theme="4"/>
          <bgColor theme="4"/>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border diagonalUp="0" diagonalDown="0">
        <left style="thin">
          <color indexed="64"/>
        </left>
        <right/>
        <top style="thin">
          <color indexed="64"/>
        </top>
        <bottom style="thin">
          <color indexed="64"/>
        </bottom>
        <vertical/>
        <horizontal/>
      </border>
    </dxf>
    <dxf>
      <numFmt numFmtId="167" formatCode="_ [$₹-4009]\ * #,##0_ ;_ [$₹-4009]\ * \-#,##0_ ;_ [$₹-4009]\ * &quot;-&quot;??_ ;_ @_ "/>
      <border diagonalUp="0" diagonalDown="0">
        <left style="thin">
          <color indexed="64"/>
        </left>
        <right style="thin">
          <color indexed="64"/>
        </right>
        <top style="thin">
          <color indexed="64"/>
        </top>
        <bottom style="thin">
          <color indexed="64"/>
        </bottom>
        <vertical/>
        <horizontal/>
      </border>
    </dxf>
    <dxf>
      <numFmt numFmtId="167" formatCode="_ [$₹-4009]\ * #,##0_ ;_ [$₹-4009]\ * \-#,##0_ ;_ [$₹-4009]\ * &quot;-&quot;??_ ;_ @_ "/>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4009]\ * #,##0_ ;_ [$₹-4009]\ * \-#,##0_ ;_ [$₹-4009]\ * &quot;-&quot;??_ ;_ @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numFmt numFmtId="167" formatCode="_ [$₹-4009]\ * #,##0_ ;_ [$₹-4009]\ * \-#,##0_ ;_ [$₹-4009]\ * &quot;-&quot;??_ ;_ @_ "/>
      <fill>
        <patternFill patternType="solid">
          <fgColor indexed="64"/>
          <bgColor theme="4" tint="-0.249977111117893"/>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ill>
        <patternFill>
          <bgColor theme="0" tint="-4.9989318521683403E-2"/>
        </patternFill>
      </fill>
    </dxf>
  </dxfs>
  <tableStyles count="2" defaultTableStyle="TableStyleMedium2" defaultPivotStyle="PivotStyleLight16">
    <tableStyle name="Slicer Style 1" pivot="0" table="0" count="0" xr9:uid="{CA59716F-E8AE-40EB-B4DC-C2223BB6AB54}"/>
    <tableStyle name="Slicer Style 2" pivot="0" table="0" count="1" xr9:uid="{4BA814C8-87BA-4288-ADA2-C63CB0C35D77}">
      <tableStyleElement type="headerRow" dxfId="42"/>
    </tableStyle>
  </tableStyles>
  <colors>
    <mruColors>
      <color rgb="FF93C5FD"/>
      <color rgb="FF2563EB"/>
      <color rgb="FFC4B5FD"/>
      <color rgb="FFEF4444"/>
      <color rgb="FFF59E0B"/>
      <color rgb="FF10B981"/>
      <color rgb="FFE5E7EB"/>
      <color rgb="FF86868B"/>
      <color rgb="FF1D1D1F"/>
      <color rgb="FFF5F7FA"/>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[Inovice_tracker.xlsx]Invoice_tracker!PivotTable1</c:name>
    <c:fmtId val="3"/>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Invoice_tracker!$N$3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Invoice_tracker!$M$4:$M$10</c:f>
              <c:strCache>
                <c:ptCount val="6"/>
                <c:pt idx="0">
                  <c:v>Jul</c:v>
                </c:pt>
                <c:pt idx="1">
                  <c:v>Aug</c:v>
                </c:pt>
                <c:pt idx="2">
                  <c:v>Sep</c:v>
                </c:pt>
                <c:pt idx="3">
                  <c:v>Oct</c:v>
                </c:pt>
                <c:pt idx="4">
                  <c:v>Nov</c:v>
                </c:pt>
                <c:pt idx="5">
                  <c:v>Dec</c:v>
                </c:pt>
              </c:strCache>
            </c:strRef>
          </c:cat>
          <c:val>
            <c:numRef>
              <c:f>Invoice_tracker!$N$4:$N$10</c:f>
              <c:numCache>
                <c:formatCode>"₹"\ #,##0</c:formatCode>
                <c:ptCount val="6"/>
                <c:pt idx="0">
                  <c:v>588500</c:v>
                </c:pt>
                <c:pt idx="1">
                  <c:v>826500</c:v>
                </c:pt>
                <c:pt idx="2">
                  <c:v>873000</c:v>
                </c:pt>
                <c:pt idx="3">
                  <c:v>809500</c:v>
                </c:pt>
                <c:pt idx="4">
                  <c:v>806000</c:v>
                </c:pt>
                <c:pt idx="5">
                  <c:v>410000</c:v>
                </c:pt>
              </c:numCache>
            </c:numRef>
          </c:val>
          <c:smooth val="0"/>
          <c:extLst>
            <c:ext xmlns:c16="http://schemas.microsoft.com/office/drawing/2014/chart" uri="{C3380CC4-5D6E-409C-BE32-E72D297353CC}">
              <c16:uniqueId val="{00000000-71C9-4E10-905F-3112049EC915}"/>
            </c:ext>
          </c:extLst>
        </c:ser>
        <c:dLbls>
          <c:showLegendKey val="0"/>
          <c:showVal val="0"/>
          <c:showCatName val="0"/>
          <c:showSerName val="0"/>
          <c:showPercent val="0"/>
          <c:showBubbleSize val="0"/>
        </c:dLbls>
        <c:marker val="1"/>
        <c:smooth val="0"/>
        <c:axId val="1643116559"/>
        <c:axId val="655171439"/>
      </c:lineChart>
      <c:catAx>
        <c:axId val="16431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5171439"/>
        <c:crosses val="autoZero"/>
        <c:auto val="1"/>
        <c:lblAlgn val="ctr"/>
        <c:lblOffset val="100"/>
        <c:noMultiLvlLbl val="0"/>
      </c:catAx>
      <c:valAx>
        <c:axId val="655171439"/>
        <c:scaling>
          <c:orientation val="minMax"/>
        </c:scaling>
        <c:delete val="0"/>
        <c:axPos val="l"/>
        <c:majorGridlines>
          <c:spPr>
            <a:ln w="9525" cap="flat" cmpd="sng" algn="ctr">
              <a:solidFill>
                <a:srgbClr val="E5E7EB"/>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311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[Inovice_tracker.xlsx]Invoice_tracker!PivotTable2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3C5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barChart>
        <c:barDir val="col"/>
        <c:grouping val="clustered"/>
        <c:varyColors val="0"/>
        <c:ser>
          <c:idx val="0"/>
          <c:order val="0"/>
          <c:tx>
            <c:strRef>
              <c:f>Invoice_tracker!$N$18</c:f>
              <c:strCache>
                <c:ptCount val="1"/>
                <c:pt idx="0">
                  <c:v>Total</c:v>
                </c:pt>
              </c:strCache>
            </c:strRef>
          </c:tx>
          <c:spPr>
            <a:solidFill>
              <a:srgbClr val="93C5FD"/>
            </a:solidFill>
            <a:ln>
              <a:noFill/>
            </a:ln>
            <a:effectLst/>
          </c:spPr>
          <c:invertIfNegative val="0"/>
          <c:cat>
            <c:strRef>
              <c:f>Invoice_tracker!$M$19:$M$24</c:f>
              <c:strCache>
                <c:ptCount val="5"/>
                <c:pt idx="0">
                  <c:v>Everest Traders Solutions</c:v>
                </c:pt>
                <c:pt idx="1">
                  <c:v>Fusion Engineering Group</c:v>
                </c:pt>
                <c:pt idx="2">
                  <c:v>Metro Consulting Enterprises</c:v>
                </c:pt>
                <c:pt idx="3">
                  <c:v>Titan Infra Technologies</c:v>
                </c:pt>
                <c:pt idx="4">
                  <c:v>Urban Textiles Works</c:v>
                </c:pt>
              </c:strCache>
            </c:strRef>
          </c:cat>
          <c:val>
            <c:numRef>
              <c:f>Invoice_tracker!$N$19:$N$24</c:f>
              <c:numCache>
                <c:formatCode>"₹"\ #,##0</c:formatCode>
                <c:ptCount val="5"/>
                <c:pt idx="0">
                  <c:v>45000</c:v>
                </c:pt>
                <c:pt idx="1">
                  <c:v>49500</c:v>
                </c:pt>
                <c:pt idx="2">
                  <c:v>46000</c:v>
                </c:pt>
                <c:pt idx="3">
                  <c:v>32500</c:v>
                </c:pt>
                <c:pt idx="4">
                  <c:v>44500</c:v>
                </c:pt>
              </c:numCache>
            </c:numRef>
          </c:val>
          <c:extLst>
            <c:ext xmlns:c16="http://schemas.microsoft.com/office/drawing/2014/chart" uri="{C3380CC4-5D6E-409C-BE32-E72D297353CC}">
              <c16:uniqueId val="{00000000-9E23-4C82-A8D3-10EED70F8C2E}"/>
            </c:ext>
          </c:extLst>
        </c:ser>
        <c:dLbls>
          <c:showLegendKey val="0"/>
          <c:showVal val="0"/>
          <c:showCatName val="0"/>
          <c:showSerName val="0"/>
          <c:showPercent val="0"/>
          <c:showBubbleSize val="0"/>
        </c:dLbls>
        <c:gapWidth val="219"/>
        <c:overlap val="-27"/>
        <c:axId val="1898920831"/>
        <c:axId val="655155599"/>
      </c:barChart>
      <c:catAx>
        <c:axId val="1898920831"/>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655155599"/>
        <c:crosses val="autoZero"/>
        <c:auto val="1"/>
        <c:lblAlgn val="ctr"/>
        <c:lblOffset val="100"/>
        <c:noMultiLvlLbl val="0"/>
      </c:catAx>
      <c:valAx>
        <c:axId val="655155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892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[Inovice_tracker.xlsx]Invoice_tracker!PivotTable3</c:name>
    <c:fmtId val="2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delete val="1"/>
          <c:extLst>
            <c:ext xmlns:c15="http://schemas.microsoft.com/office/drawing/2012/chart" uri="{CE6537A1-D6FC-4f65-9D91-7224C49458BB}"/>
          </c:extLst>
        </c:dLbl>
      </c:pivotFmt>
      <c:pivotFmt>
        <c:idx val="6"/>
        <c:spPr>
          <a:solidFill>
            <a:srgbClr val="F59E0B"/>
          </a:solidFill>
          <a:ln w="19050">
            <a:solidFill>
              <a:schemeClr val="lt1"/>
            </a:solidFill>
          </a:ln>
          <a:effectLst/>
        </c:spPr>
      </c:pivotFmt>
      <c:pivotFmt>
        <c:idx val="7"/>
        <c:spPr>
          <a:solidFill>
            <a:srgbClr val="10B981"/>
          </a:solidFill>
          <a:ln w="19050">
            <a:solidFill>
              <a:schemeClr val="lt1"/>
            </a:solidFill>
          </a:ln>
          <a:effectLst/>
        </c:spPr>
      </c:pivotFmt>
      <c:pivotFmt>
        <c:idx val="8"/>
        <c:spPr>
          <a:solidFill>
            <a:srgbClr val="EF4444"/>
          </a:solidFill>
          <a:ln w="19050">
            <a:solidFill>
              <a:schemeClr val="lt1"/>
            </a:solidFill>
          </a:ln>
          <a:effectLst/>
        </c:spPr>
      </c:pivotFmt>
    </c:pivotFmts>
    <c:plotArea>
      <c:layout>
        <c:manualLayout>
          <c:layoutTarget val="inner"/>
          <c:xMode val="edge"/>
          <c:yMode val="edge"/>
          <c:x val="0.11904505592003392"/>
          <c:y val="5.8812179215065798E-2"/>
          <c:w val="0.46661889531339046"/>
          <c:h val="0.94118782078493424"/>
        </c:manualLayout>
      </c:layout>
      <c:doughnutChart>
        <c:varyColors val="1"/>
        <c:ser>
          <c:idx val="0"/>
          <c:order val="0"/>
          <c:tx>
            <c:strRef>
              <c:f>Invoice_tracker!$N$28</c:f>
              <c:strCache>
                <c:ptCount val="1"/>
                <c:pt idx="0">
                  <c:v>Total</c:v>
                </c:pt>
              </c:strCache>
            </c:strRef>
          </c:tx>
          <c:dPt>
            <c:idx val="0"/>
            <c:bubble3D val="0"/>
            <c:spPr>
              <a:solidFill>
                <a:srgbClr val="10B981"/>
              </a:solidFill>
              <a:ln w="19050">
                <a:solidFill>
                  <a:schemeClr val="lt1"/>
                </a:solidFill>
              </a:ln>
              <a:effectLst/>
            </c:spPr>
            <c:extLst>
              <c:ext xmlns:c16="http://schemas.microsoft.com/office/drawing/2014/chart" uri="{C3380CC4-5D6E-409C-BE32-E72D297353CC}">
                <c16:uniqueId val="{00000001-05CA-4C6F-92C4-BA46690B7C37}"/>
              </c:ext>
            </c:extLst>
          </c:dPt>
          <c:dPt>
            <c:idx val="1"/>
            <c:bubble3D val="0"/>
            <c:spPr>
              <a:solidFill>
                <a:srgbClr val="EF4444"/>
              </a:solidFill>
              <a:ln w="19050">
                <a:solidFill>
                  <a:schemeClr val="lt1"/>
                </a:solidFill>
              </a:ln>
              <a:effectLst/>
            </c:spPr>
            <c:extLst>
              <c:ext xmlns:c16="http://schemas.microsoft.com/office/drawing/2014/chart" uri="{C3380CC4-5D6E-409C-BE32-E72D297353CC}">
                <c16:uniqueId val="{00000003-05CA-4C6F-92C4-BA46690B7C37}"/>
              </c:ext>
            </c:extLst>
          </c:dPt>
          <c:dPt>
            <c:idx val="2"/>
            <c:bubble3D val="0"/>
            <c:spPr>
              <a:solidFill>
                <a:srgbClr val="F59E0B"/>
              </a:solidFill>
              <a:ln w="19050">
                <a:solidFill>
                  <a:schemeClr val="lt1"/>
                </a:solidFill>
              </a:ln>
              <a:effectLst/>
            </c:spPr>
            <c:extLst>
              <c:ext xmlns:c16="http://schemas.microsoft.com/office/drawing/2014/chart" uri="{C3380CC4-5D6E-409C-BE32-E72D297353CC}">
                <c16:uniqueId val="{00000005-05CA-4C6F-92C4-BA46690B7C37}"/>
              </c:ext>
            </c:extLst>
          </c:dPt>
          <c:cat>
            <c:strRef>
              <c:f>Invoice_tracker!$M$29:$M$32</c:f>
              <c:strCache>
                <c:ptCount val="3"/>
                <c:pt idx="0">
                  <c:v>Paid </c:v>
                </c:pt>
                <c:pt idx="1">
                  <c:v>Cancelled</c:v>
                </c:pt>
                <c:pt idx="2">
                  <c:v>Pending </c:v>
                </c:pt>
              </c:strCache>
            </c:strRef>
          </c:cat>
          <c:val>
            <c:numRef>
              <c:f>Invoice_tracker!$N$29:$N$32</c:f>
              <c:numCache>
                <c:formatCode>"₹"\ #,##0</c:formatCode>
                <c:ptCount val="3"/>
                <c:pt idx="0">
                  <c:v>283500</c:v>
                </c:pt>
                <c:pt idx="1">
                  <c:v>69000</c:v>
                </c:pt>
                <c:pt idx="2">
                  <c:v>57500</c:v>
                </c:pt>
              </c:numCache>
            </c:numRef>
          </c:val>
          <c:extLst>
            <c:ext xmlns:c16="http://schemas.microsoft.com/office/drawing/2014/chart" uri="{C3380CC4-5D6E-409C-BE32-E72D297353CC}">
              <c16:uniqueId val="{00000006-05CA-4C6F-92C4-BA46690B7C3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[Inovice_tracker.xlsx]Invoice_tracker!PivotTable4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4B5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Invoice_tracker!$N$36</c:f>
              <c:strCache>
                <c:ptCount val="1"/>
                <c:pt idx="0">
                  <c:v>Total</c:v>
                </c:pt>
              </c:strCache>
            </c:strRef>
          </c:tx>
          <c:spPr>
            <a:solidFill>
              <a:srgbClr val="C4B5F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Invoice_tracker!$M$37:$M$42</c:f>
              <c:strCache>
                <c:ptCount val="5"/>
                <c:pt idx="0">
                  <c:v>Asset Register</c:v>
                </c:pt>
                <c:pt idx="1">
                  <c:v>Dispatch Tracker</c:v>
                </c:pt>
                <c:pt idx="2">
                  <c:v>P&amp;L Report</c:v>
                </c:pt>
                <c:pt idx="3">
                  <c:v>Variance Analysis</c:v>
                </c:pt>
                <c:pt idx="4">
                  <c:v>Warehouse Tracker</c:v>
                </c:pt>
              </c:strCache>
            </c:strRef>
          </c:cat>
          <c:val>
            <c:numRef>
              <c:f>Invoice_tracker!$N$37:$N$42</c:f>
              <c:numCache>
                <c:formatCode>"₹"\ #,##0</c:formatCode>
                <c:ptCount val="5"/>
                <c:pt idx="0">
                  <c:v>45000</c:v>
                </c:pt>
                <c:pt idx="1">
                  <c:v>44500</c:v>
                </c:pt>
                <c:pt idx="2">
                  <c:v>49500</c:v>
                </c:pt>
                <c:pt idx="3">
                  <c:v>32500</c:v>
                </c:pt>
                <c:pt idx="4">
                  <c:v>46000</c:v>
                </c:pt>
              </c:numCache>
            </c:numRef>
          </c:val>
          <c:extLst>
            <c:ext xmlns:c16="http://schemas.microsoft.com/office/drawing/2014/chart" uri="{C3380CC4-5D6E-409C-BE32-E72D297353CC}">
              <c16:uniqueId val="{00000000-D3CB-46D0-9B4C-5A5AC866703B}"/>
            </c:ext>
          </c:extLst>
        </c:ser>
        <c:dLbls>
          <c:showLegendKey val="0"/>
          <c:showVal val="0"/>
          <c:showCatName val="0"/>
          <c:showSerName val="0"/>
          <c:showPercent val="0"/>
          <c:showBubbleSize val="0"/>
        </c:dLbls>
        <c:gapWidth val="182"/>
        <c:axId val="1560116655"/>
        <c:axId val="1737388079"/>
      </c:barChart>
      <c:catAx>
        <c:axId val="156011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388079"/>
        <c:crosses val="autoZero"/>
        <c:auto val="1"/>
        <c:lblAlgn val="ctr"/>
        <c:lblOffset val="100"/>
        <c:noMultiLvlLbl val="0"/>
      </c:catAx>
      <c:valAx>
        <c:axId val="1737388079"/>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crossAx val="15601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254628</xdr:colOff>
      <xdr:row>8</xdr:row>
      <xdr:rowOff>301781</xdr:rowOff>
    </xdr:from>
    <xdr:to>
      <xdr:col>2</xdr:col>
      <xdr:colOff>914777</xdr:colOff>
      <xdr:row>13</xdr:row>
      <xdr:rowOff>0</xdr:rowOff>
    </xdr:to>
    <xdr:sp macro="" textlink="Invoice_tracker!N30">
      <xdr:nvSpPr>
        <xdr:cNvPr id="9" name="Rectangle: Rounded Corners 8">
          <a:extLst>
            <a:ext uri="{FF2B5EF4-FFF2-40B4-BE49-F238E27FC236}">
              <a16:creationId xmlns:a16="http://schemas.microsoft.com/office/drawing/2014/main" id="{8E978FD0-DD5E-8050-35E7-069C0CBF01F7}"/>
            </a:ext>
          </a:extLst>
        </xdr:cNvPr>
        <xdr:cNvSpPr/>
      </xdr:nvSpPr>
      <xdr:spPr>
        <a:xfrm>
          <a:off x="254628" y="2555717"/>
          <a:ext cx="1989877" cy="1254283"/>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FAA8F5-F3A1-4C78-813B-25EC21FEB424}" type="TxLink">
            <a:rPr lang="en-US" sz="2400" b="1" i="0" u="none" strike="noStrike">
              <a:solidFill>
                <a:srgbClr val="000000"/>
              </a:solidFill>
              <a:latin typeface="Aptos Narrow"/>
              <a:ea typeface="+mn-ea"/>
              <a:cs typeface="+mn-cs"/>
            </a:rPr>
            <a:pPr marL="0" indent="0" algn="ctr"/>
            <a:t>₹ 69,000</a:t>
          </a:fld>
          <a:endParaRPr lang="en-US" sz="2400" b="1">
            <a:solidFill>
              <a:schemeClr val="accent4">
                <a:lumMod val="50000"/>
              </a:schemeClr>
            </a:solidFill>
            <a:ea typeface="+mn-ea"/>
            <a:cs typeface="+mn-cs"/>
          </a:endParaRPr>
        </a:p>
      </xdr:txBody>
    </xdr:sp>
    <xdr:clientData/>
  </xdr:twoCellAnchor>
  <xdr:twoCellAnchor>
    <xdr:from>
      <xdr:col>5</xdr:col>
      <xdr:colOff>168088</xdr:colOff>
      <xdr:row>3</xdr:row>
      <xdr:rowOff>0</xdr:rowOff>
    </xdr:from>
    <xdr:to>
      <xdr:col>17</xdr:col>
      <xdr:colOff>0</xdr:colOff>
      <xdr:row>13</xdr:row>
      <xdr:rowOff>0</xdr:rowOff>
    </xdr:to>
    <xdr:sp macro="" textlink="">
      <xdr:nvSpPr>
        <xdr:cNvPr id="10" name="Rectangle: Rounded Corners 9">
          <a:extLst>
            <a:ext uri="{FF2B5EF4-FFF2-40B4-BE49-F238E27FC236}">
              <a16:creationId xmlns:a16="http://schemas.microsoft.com/office/drawing/2014/main" id="{D3AA78CF-1FA4-4016-6319-10BBDC365A73}"/>
            </a:ext>
          </a:extLst>
        </xdr:cNvPr>
        <xdr:cNvSpPr/>
      </xdr:nvSpPr>
      <xdr:spPr>
        <a:xfrm>
          <a:off x="4728882" y="885265"/>
          <a:ext cx="12741089" cy="2958353"/>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rgbClr val="86868B"/>
              </a:solidFill>
              <a:latin typeface="+mn-lt"/>
              <a:ea typeface="+mn-ea"/>
              <a:cs typeface="+mn-cs"/>
            </a:rPr>
            <a:t>MONTHLY REVENUE TREND</a:t>
          </a:r>
        </a:p>
      </xdr:txBody>
    </xdr:sp>
    <xdr:clientData/>
  </xdr:twoCellAnchor>
  <xdr:twoCellAnchor>
    <xdr:from>
      <xdr:col>1</xdr:col>
      <xdr:colOff>101022</xdr:colOff>
      <xdr:row>14</xdr:row>
      <xdr:rowOff>0</xdr:rowOff>
    </xdr:from>
    <xdr:to>
      <xdr:col>5</xdr:col>
      <xdr:colOff>0</xdr:colOff>
      <xdr:row>22</xdr:row>
      <xdr:rowOff>1</xdr:rowOff>
    </xdr:to>
    <xdr:sp macro="" textlink="">
      <xdr:nvSpPr>
        <xdr:cNvPr id="11" name="Rectangle: Rounded Corners 10">
          <a:extLst>
            <a:ext uri="{FF2B5EF4-FFF2-40B4-BE49-F238E27FC236}">
              <a16:creationId xmlns:a16="http://schemas.microsoft.com/office/drawing/2014/main" id="{940C10FE-9ABE-4F7C-515E-AC2678B1C860}"/>
            </a:ext>
          </a:extLst>
        </xdr:cNvPr>
        <xdr:cNvSpPr/>
      </xdr:nvSpPr>
      <xdr:spPr>
        <a:xfrm>
          <a:off x="358757" y="4157382"/>
          <a:ext cx="4202037" cy="2510119"/>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rgbClr val="86868B"/>
              </a:solidFill>
              <a:latin typeface="+mn-lt"/>
              <a:ea typeface="+mn-ea"/>
              <a:cs typeface="+mn-cs"/>
            </a:rPr>
            <a:t>PAYMENT MIX</a:t>
          </a:r>
        </a:p>
      </xdr:txBody>
    </xdr:sp>
    <xdr:clientData/>
  </xdr:twoCellAnchor>
  <xdr:twoCellAnchor>
    <xdr:from>
      <xdr:col>5</xdr:col>
      <xdr:colOff>179295</xdr:colOff>
      <xdr:row>14</xdr:row>
      <xdr:rowOff>1</xdr:rowOff>
    </xdr:from>
    <xdr:to>
      <xdr:col>11</xdr:col>
      <xdr:colOff>661149</xdr:colOff>
      <xdr:row>22</xdr:row>
      <xdr:rowOff>2</xdr:rowOff>
    </xdr:to>
    <xdr:sp macro="" textlink="">
      <xdr:nvSpPr>
        <xdr:cNvPr id="12" name="Rectangle: Rounded Corners 11">
          <a:extLst>
            <a:ext uri="{FF2B5EF4-FFF2-40B4-BE49-F238E27FC236}">
              <a16:creationId xmlns:a16="http://schemas.microsoft.com/office/drawing/2014/main" id="{A04F2A4E-01EC-A2D8-F936-1B6A5C269930}"/>
            </a:ext>
          </a:extLst>
        </xdr:cNvPr>
        <xdr:cNvSpPr/>
      </xdr:nvSpPr>
      <xdr:spPr>
        <a:xfrm>
          <a:off x="4740089" y="4157383"/>
          <a:ext cx="6936442" cy="2510119"/>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rgbClr val="86868B"/>
              </a:solidFill>
              <a:latin typeface="+mn-lt"/>
              <a:ea typeface="+mn-ea"/>
              <a:cs typeface="+mn-cs"/>
            </a:rPr>
            <a:t>TOP 5 CLIENTS </a:t>
          </a:r>
        </a:p>
      </xdr:txBody>
    </xdr:sp>
    <xdr:clientData/>
  </xdr:twoCellAnchor>
  <xdr:twoCellAnchor>
    <xdr:from>
      <xdr:col>11</xdr:col>
      <xdr:colOff>806824</xdr:colOff>
      <xdr:row>14</xdr:row>
      <xdr:rowOff>1</xdr:rowOff>
    </xdr:from>
    <xdr:to>
      <xdr:col>17</xdr:col>
      <xdr:colOff>0</xdr:colOff>
      <xdr:row>22</xdr:row>
      <xdr:rowOff>0</xdr:rowOff>
    </xdr:to>
    <xdr:sp macro="" textlink="">
      <xdr:nvSpPr>
        <xdr:cNvPr id="13" name="Rectangle: Rounded Corners 12">
          <a:extLst>
            <a:ext uri="{FF2B5EF4-FFF2-40B4-BE49-F238E27FC236}">
              <a16:creationId xmlns:a16="http://schemas.microsoft.com/office/drawing/2014/main" id="{F332202E-28C2-7965-34E7-16F565B5F3C3}"/>
            </a:ext>
          </a:extLst>
        </xdr:cNvPr>
        <xdr:cNvSpPr/>
      </xdr:nvSpPr>
      <xdr:spPr>
        <a:xfrm>
          <a:off x="11822206" y="4157383"/>
          <a:ext cx="5647765" cy="2510117"/>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200" b="1">
              <a:solidFill>
                <a:srgbClr val="86868B"/>
              </a:solidFill>
              <a:latin typeface="+mn-lt"/>
              <a:ea typeface="+mn-ea"/>
              <a:cs typeface="+mn-cs"/>
            </a:rPr>
            <a:t>TOP 5 SERVICES</a:t>
          </a:r>
        </a:p>
      </xdr:txBody>
    </xdr:sp>
    <xdr:clientData/>
  </xdr:twoCellAnchor>
  <xdr:twoCellAnchor>
    <xdr:from>
      <xdr:col>5</xdr:col>
      <xdr:colOff>369794</xdr:colOff>
      <xdr:row>4</xdr:row>
      <xdr:rowOff>224118</xdr:rowOff>
    </xdr:from>
    <xdr:to>
      <xdr:col>16</xdr:col>
      <xdr:colOff>795618</xdr:colOff>
      <xdr:row>12</xdr:row>
      <xdr:rowOff>98612</xdr:rowOff>
    </xdr:to>
    <xdr:graphicFrame macro="">
      <xdr:nvGraphicFramePr>
        <xdr:cNvPr id="2" name="Chart 1">
          <a:extLst>
            <a:ext uri="{FF2B5EF4-FFF2-40B4-BE49-F238E27FC236}">
              <a16:creationId xmlns:a16="http://schemas.microsoft.com/office/drawing/2014/main" id="{D6E73F53-9598-40FB-9162-67AE6D5E6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313764</xdr:colOff>
      <xdr:row>15</xdr:row>
      <xdr:rowOff>2551</xdr:rowOff>
    </xdr:from>
    <xdr:to>
      <xdr:col>11</xdr:col>
      <xdr:colOff>462104</xdr:colOff>
      <xdr:row>21</xdr:row>
      <xdr:rowOff>244288</xdr:rowOff>
    </xdr:to>
    <xdr:graphicFrame macro="">
      <xdr:nvGraphicFramePr>
        <xdr:cNvPr id="3" name="Chart 2">
          <a:extLst>
            <a:ext uri="{FF2B5EF4-FFF2-40B4-BE49-F238E27FC236}">
              <a16:creationId xmlns:a16="http://schemas.microsoft.com/office/drawing/2014/main" id="{7DA2E3CA-CD95-4018-A38D-1F2E93E1D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246530</xdr:colOff>
      <xdr:row>15</xdr:row>
      <xdr:rowOff>44824</xdr:rowOff>
    </xdr:from>
    <xdr:to>
      <xdr:col>4</xdr:col>
      <xdr:colOff>941295</xdr:colOff>
      <xdr:row>21</xdr:row>
      <xdr:rowOff>121022</xdr:rowOff>
    </xdr:to>
    <xdr:graphicFrame macro="">
      <xdr:nvGraphicFramePr>
        <xdr:cNvPr id="4" name="Chart 3">
          <a:extLst>
            <a:ext uri="{FF2B5EF4-FFF2-40B4-BE49-F238E27FC236}">
              <a16:creationId xmlns:a16="http://schemas.microsoft.com/office/drawing/2014/main" id="{DC7E45FE-791D-488E-BC8B-2857562A4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918882</xdr:colOff>
      <xdr:row>15</xdr:row>
      <xdr:rowOff>78441</xdr:rowOff>
    </xdr:from>
    <xdr:to>
      <xdr:col>16</xdr:col>
      <xdr:colOff>762000</xdr:colOff>
      <xdr:row>21</xdr:row>
      <xdr:rowOff>78441</xdr:rowOff>
    </xdr:to>
    <xdr:graphicFrame macro="">
      <xdr:nvGraphicFramePr>
        <xdr:cNvPr id="5" name="Chart 4">
          <a:extLst>
            <a:ext uri="{FF2B5EF4-FFF2-40B4-BE49-F238E27FC236}">
              <a16:creationId xmlns:a16="http://schemas.microsoft.com/office/drawing/2014/main" id="{67E0D913-0506-4538-A132-79C400636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226337</xdr:colOff>
      <xdr:row>3</xdr:row>
      <xdr:rowOff>0</xdr:rowOff>
    </xdr:from>
    <xdr:to>
      <xdr:col>4</xdr:col>
      <xdr:colOff>1047472</xdr:colOff>
      <xdr:row>8</xdr:row>
      <xdr:rowOff>115719</xdr:rowOff>
    </xdr:to>
    <xdr:sp macro="" textlink="Invoice_tracker!N32">
      <xdr:nvSpPr>
        <xdr:cNvPr id="6" name="Rectangle: Rounded Corners 5">
          <a:extLst>
            <a:ext uri="{FF2B5EF4-FFF2-40B4-BE49-F238E27FC236}">
              <a16:creationId xmlns:a16="http://schemas.microsoft.com/office/drawing/2014/main" id="{2DE30CF0-EDAD-321F-BDB3-47613C9F8FB7}"/>
            </a:ext>
          </a:extLst>
        </xdr:cNvPr>
        <xdr:cNvSpPr/>
      </xdr:nvSpPr>
      <xdr:spPr>
        <a:xfrm>
          <a:off x="226337" y="877054"/>
          <a:ext cx="4301061" cy="1492601"/>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rgbClr val="000000"/>
              </a:solidFill>
              <a:latin typeface="Aptos Narrow"/>
              <a:ea typeface="+mn-ea"/>
              <a:cs typeface="+mn-cs"/>
            </a:rPr>
            <a:t> </a:t>
          </a:r>
          <a:fld id="{D5E8825B-F028-4823-B7F7-97DD724FBFA8}" type="TxLink">
            <a:rPr lang="en-US" sz="2800" b="1" i="0" u="none" strike="noStrike">
              <a:solidFill>
                <a:srgbClr val="000000"/>
              </a:solidFill>
              <a:latin typeface="Aptos Narrow"/>
              <a:ea typeface="+mn-ea"/>
              <a:cs typeface="+mn-cs"/>
            </a:rPr>
            <a:pPr marL="0" indent="0" algn="ctr"/>
            <a:t>₹ 5,88,500</a:t>
          </a:fld>
          <a:endParaRPr lang="en-US" sz="2800" b="1">
            <a:ea typeface="+mn-ea"/>
            <a:cs typeface="+mn-cs"/>
          </a:endParaRPr>
        </a:p>
      </xdr:txBody>
    </xdr:sp>
    <xdr:clientData/>
  </xdr:twoCellAnchor>
  <xdr:twoCellAnchor>
    <xdr:from>
      <xdr:col>2</xdr:col>
      <xdr:colOff>1065668</xdr:colOff>
      <xdr:row>8</xdr:row>
      <xdr:rowOff>311212</xdr:rowOff>
    </xdr:from>
    <xdr:to>
      <xdr:col>4</xdr:col>
      <xdr:colOff>999653</xdr:colOff>
      <xdr:row>12</xdr:row>
      <xdr:rowOff>311212</xdr:rowOff>
    </xdr:to>
    <xdr:sp macro="" textlink="Invoice_tracker!P29">
      <xdr:nvSpPr>
        <xdr:cNvPr id="7" name="Rectangle: Rounded Corners 6">
          <a:extLst>
            <a:ext uri="{FF2B5EF4-FFF2-40B4-BE49-F238E27FC236}">
              <a16:creationId xmlns:a16="http://schemas.microsoft.com/office/drawing/2014/main" id="{34ED987A-1F59-9DCD-A20B-91504B02FA03}"/>
            </a:ext>
          </a:extLst>
        </xdr:cNvPr>
        <xdr:cNvSpPr/>
      </xdr:nvSpPr>
      <xdr:spPr>
        <a:xfrm>
          <a:off x="2395396" y="2565148"/>
          <a:ext cx="2084183" cy="1244851"/>
        </a:xfrm>
        <a:prstGeom prst="roundRect">
          <a:avLst/>
        </a:prstGeom>
        <a:solidFill>
          <a:schemeClr val="bg1"/>
        </a:solidFill>
        <a:ln>
          <a:noFill/>
        </a:ln>
        <a:effectLst>
          <a:outerShdw blurRad="88900" algn="ctr" rotWithShape="0">
            <a:prstClr val="black">
              <a:alpha val="5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C559943-8CF3-4701-A5D6-F302C0A1CFC3}" type="TxLink">
            <a:rPr lang="en-US" sz="2400" b="1" i="0" u="none" strike="noStrike">
              <a:solidFill>
                <a:srgbClr val="000000"/>
              </a:solidFill>
              <a:latin typeface="Aptos Narrow"/>
              <a:ea typeface="+mn-ea"/>
              <a:cs typeface="+mn-cs"/>
            </a:rPr>
            <a:pPr marL="0" indent="0" algn="ctr"/>
            <a:t>₹ 1,26,500</a:t>
          </a:fld>
          <a:endParaRPr lang="en-US" sz="2400" b="1" i="0" u="none" strike="noStrike">
            <a:solidFill>
              <a:srgbClr val="000000"/>
            </a:solidFill>
            <a:latin typeface="Aptos Narrow"/>
            <a:ea typeface="+mn-ea"/>
            <a:cs typeface="+mn-cs"/>
          </a:endParaRPr>
        </a:p>
      </xdr:txBody>
    </xdr:sp>
    <xdr:clientData/>
  </xdr:twoCellAnchor>
  <xdr:twoCellAnchor>
    <xdr:from>
      <xdr:col>2</xdr:col>
      <xdr:colOff>188615</xdr:colOff>
      <xdr:row>3</xdr:row>
      <xdr:rowOff>94307</xdr:rowOff>
    </xdr:from>
    <xdr:to>
      <xdr:col>3</xdr:col>
      <xdr:colOff>641288</xdr:colOff>
      <xdr:row>4</xdr:row>
      <xdr:rowOff>216906</xdr:rowOff>
    </xdr:to>
    <xdr:sp macro="" textlink="">
      <xdr:nvSpPr>
        <xdr:cNvPr id="8" name="TextBox 7">
          <a:extLst>
            <a:ext uri="{FF2B5EF4-FFF2-40B4-BE49-F238E27FC236}">
              <a16:creationId xmlns:a16="http://schemas.microsoft.com/office/drawing/2014/main" id="{CDE10C9D-DDBE-8271-FAA7-D790AA4CCCD0}"/>
            </a:ext>
          </a:extLst>
        </xdr:cNvPr>
        <xdr:cNvSpPr txBox="1"/>
      </xdr:nvSpPr>
      <xdr:spPr>
        <a:xfrm>
          <a:off x="1518343" y="971361"/>
          <a:ext cx="1527772" cy="2546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TOTAL</a:t>
          </a:r>
          <a:r>
            <a:rPr lang="en-IN" sz="1400" baseline="0">
              <a:solidFill>
                <a:schemeClr val="tx1"/>
              </a:solidFill>
            </a:rPr>
            <a:t> REVENUE </a:t>
          </a:r>
        </a:p>
        <a:p>
          <a:endParaRPr lang="en-IN" sz="1100"/>
        </a:p>
      </xdr:txBody>
    </xdr:sp>
    <xdr:clientData/>
  </xdr:twoCellAnchor>
  <xdr:twoCellAnchor>
    <xdr:from>
      <xdr:col>1</xdr:col>
      <xdr:colOff>198043</xdr:colOff>
      <xdr:row>9</xdr:row>
      <xdr:rowOff>113168</xdr:rowOff>
    </xdr:from>
    <xdr:to>
      <xdr:col>2</xdr:col>
      <xdr:colOff>773317</xdr:colOff>
      <xdr:row>10</xdr:row>
      <xdr:rowOff>94307</xdr:rowOff>
    </xdr:to>
    <xdr:sp macro="" textlink="">
      <xdr:nvSpPr>
        <xdr:cNvPr id="15" name="TextBox 14">
          <a:extLst>
            <a:ext uri="{FF2B5EF4-FFF2-40B4-BE49-F238E27FC236}">
              <a16:creationId xmlns:a16="http://schemas.microsoft.com/office/drawing/2014/main" id="{37AD00CA-2637-3714-B3F6-E0979AEF519D}"/>
            </a:ext>
          </a:extLst>
        </xdr:cNvPr>
        <xdr:cNvSpPr txBox="1"/>
      </xdr:nvSpPr>
      <xdr:spPr>
        <a:xfrm>
          <a:off x="452672" y="2678317"/>
          <a:ext cx="1650373" cy="2923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COLLECTED</a:t>
          </a:r>
          <a:r>
            <a:rPr lang="en-IN" sz="1200" baseline="0"/>
            <a:t> REVENUE    </a:t>
          </a:r>
        </a:p>
        <a:p>
          <a:endParaRPr lang="en-IN" sz="1200"/>
        </a:p>
      </xdr:txBody>
    </xdr:sp>
    <xdr:clientData/>
  </xdr:twoCellAnchor>
  <xdr:twoCellAnchor>
    <xdr:from>
      <xdr:col>3</xdr:col>
      <xdr:colOff>150890</xdr:colOff>
      <xdr:row>9</xdr:row>
      <xdr:rowOff>103736</xdr:rowOff>
    </xdr:from>
    <xdr:to>
      <xdr:col>4</xdr:col>
      <xdr:colOff>943068</xdr:colOff>
      <xdr:row>10</xdr:row>
      <xdr:rowOff>56585</xdr:rowOff>
    </xdr:to>
    <xdr:sp macro="" textlink="">
      <xdr:nvSpPr>
        <xdr:cNvPr id="16" name="TextBox 15">
          <a:extLst>
            <a:ext uri="{FF2B5EF4-FFF2-40B4-BE49-F238E27FC236}">
              <a16:creationId xmlns:a16="http://schemas.microsoft.com/office/drawing/2014/main" id="{78029D24-EADA-0AC7-4774-4E47E45C09E2}"/>
            </a:ext>
          </a:extLst>
        </xdr:cNvPr>
        <xdr:cNvSpPr txBox="1"/>
      </xdr:nvSpPr>
      <xdr:spPr>
        <a:xfrm>
          <a:off x="2555717" y="2668885"/>
          <a:ext cx="1867277" cy="2640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OUTSTANDING REVENUE </a:t>
          </a:r>
        </a:p>
      </xdr:txBody>
    </xdr:sp>
    <xdr:clientData/>
  </xdr:twoCellAnchor>
  <xdr:twoCellAnchor>
    <xdr:from>
      <xdr:col>1</xdr:col>
      <xdr:colOff>28292</xdr:colOff>
      <xdr:row>3</xdr:row>
      <xdr:rowOff>94306</xdr:rowOff>
    </xdr:from>
    <xdr:to>
      <xdr:col>1</xdr:col>
      <xdr:colOff>64292</xdr:colOff>
      <xdr:row>8</xdr:row>
      <xdr:rowOff>13424</xdr:rowOff>
    </xdr:to>
    <xdr:sp macro="" textlink="">
      <xdr:nvSpPr>
        <xdr:cNvPr id="17" name="Rectangle 16">
          <a:extLst>
            <a:ext uri="{FF2B5EF4-FFF2-40B4-BE49-F238E27FC236}">
              <a16:creationId xmlns:a16="http://schemas.microsoft.com/office/drawing/2014/main" id="{77BCC088-0385-25C4-6B63-FF79FDC8C355}"/>
            </a:ext>
          </a:extLst>
        </xdr:cNvPr>
        <xdr:cNvSpPr/>
      </xdr:nvSpPr>
      <xdr:spPr>
        <a:xfrm>
          <a:off x="282921" y="971360"/>
          <a:ext cx="36000" cy="1296000"/>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56583</xdr:colOff>
      <xdr:row>9</xdr:row>
      <xdr:rowOff>84875</xdr:rowOff>
    </xdr:from>
    <xdr:to>
      <xdr:col>1</xdr:col>
      <xdr:colOff>92583</xdr:colOff>
      <xdr:row>12</xdr:row>
      <xdr:rowOff>195237</xdr:rowOff>
    </xdr:to>
    <xdr:sp macro="" textlink="">
      <xdr:nvSpPr>
        <xdr:cNvPr id="18" name="Rectangle 17">
          <a:extLst>
            <a:ext uri="{FF2B5EF4-FFF2-40B4-BE49-F238E27FC236}">
              <a16:creationId xmlns:a16="http://schemas.microsoft.com/office/drawing/2014/main" id="{2EDD08E5-781B-4747-AC6B-659AA5135121}"/>
            </a:ext>
          </a:extLst>
        </xdr:cNvPr>
        <xdr:cNvSpPr/>
      </xdr:nvSpPr>
      <xdr:spPr>
        <a:xfrm>
          <a:off x="311212" y="2650024"/>
          <a:ext cx="36000" cy="1044000"/>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37723</xdr:colOff>
      <xdr:row>9</xdr:row>
      <xdr:rowOff>103737</xdr:rowOff>
    </xdr:from>
    <xdr:to>
      <xdr:col>3</xdr:col>
      <xdr:colOff>73723</xdr:colOff>
      <xdr:row>12</xdr:row>
      <xdr:rowOff>214099</xdr:rowOff>
    </xdr:to>
    <xdr:sp macro="" textlink="">
      <xdr:nvSpPr>
        <xdr:cNvPr id="19" name="Rectangle 18">
          <a:extLst>
            <a:ext uri="{FF2B5EF4-FFF2-40B4-BE49-F238E27FC236}">
              <a16:creationId xmlns:a16="http://schemas.microsoft.com/office/drawing/2014/main" id="{B9B8872C-BCF1-4AFC-94E6-103FF7A74186}"/>
            </a:ext>
          </a:extLst>
        </xdr:cNvPr>
        <xdr:cNvSpPr/>
      </xdr:nvSpPr>
      <xdr:spPr>
        <a:xfrm>
          <a:off x="2442550" y="2668886"/>
          <a:ext cx="36000" cy="104400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1037376</xdr:colOff>
      <xdr:row>0</xdr:row>
      <xdr:rowOff>179184</xdr:rowOff>
    </xdr:from>
    <xdr:to>
      <xdr:col>16</xdr:col>
      <xdr:colOff>273490</xdr:colOff>
      <xdr:row>1</xdr:row>
      <xdr:rowOff>424382</xdr:rowOff>
    </xdr:to>
    <mc:AlternateContent xmlns:mc="http://schemas.openxmlformats.org/markup-compatibility/2006" xmlns:a14="http://schemas.microsoft.com/office/drawing/2010/main">
      <mc:Choice Requires="a14">
        <xdr:graphicFrame macro="">
          <xdr:nvGraphicFramePr>
            <xdr:cNvPr id="20" name="Months (Date)">
              <a:extLst>
                <a:ext uri="{FF2B5EF4-FFF2-40B4-BE49-F238E27FC236}">
                  <a16:creationId xmlns:a16="http://schemas.microsoft.com/office/drawing/2014/main" id="{E0E7838A-FC77-45F8-A081-8D7916B9B96B}"/>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042995" y="179184"/>
              <a:ext cx="4611609" cy="433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Vivobook" refreshedDate="46236.693374652779" createdVersion="8" refreshedVersion="8" minRefreshableVersion="3" recordCount="160" xr:uid="{9DACB635-6AF6-4477-9CFF-3ADC98777B7A}">
  <cacheSource type="worksheet">
    <worksheetSource name="Table2"/>
  </cacheSource>
  <cacheFields count="10">
    <cacheField name="Client ID" numFmtId="0">
      <sharedItems/>
    </cacheField>
    <cacheField name="Date" numFmtId="14">
      <sharedItems containsSemiMixedTypes="0" containsNonDate="0" containsDate="1" containsString="0" minDate="2026-07-10T00:00:00" maxDate="2026-12-17T00:00:00" count="16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sharedItems>
      <fieldGroup par="9"/>
    </cacheField>
    <cacheField name="Client Name" numFmtId="0">
      <sharedItems count="160">
        <s v="Summit Enterprises Technologies"/>
        <s v="Future Solutions LLP"/>
        <s v="Zenith Retail Pvt Ltd"/>
        <s v="Vision Enterprises Enterprises"/>
        <s v="Golden Digital LLP"/>
        <s v="Infinity Exports Works"/>
        <s v="Vertex Energy India"/>
        <s v="Matrix Manufacturing Corporation"/>
        <s v="Dynamic Packaging Solutions"/>
        <s v="Elite Solutions India"/>
        <s v="Nexus Digital Corporation"/>
        <s v="Rapid Healthcare Solutions"/>
        <s v="Titan Foods Technologies"/>
        <s v="Royal Infra Group"/>
        <s v="Sky Manufacturing Enterprises"/>
        <s v="Blue Services Enterprises"/>
        <s v="Golden Industries Group"/>
        <s v="Sky Analytics LLP"/>
        <s v="Global Digital Works"/>
        <s v="Vertex Enterprises LLP"/>
        <s v="Future Automation Works"/>
        <s v="Global Automation Works"/>
        <s v="Royal Packaging Group"/>
        <s v="Everest Digital Pvt Ltd"/>
        <s v="Dynamic Digital LLP"/>
        <s v="Apex Electronics Works"/>
        <s v="Silver Manufacturing Works"/>
        <s v="Green Enterprises Pvt Ltd"/>
        <s v="Titan Analytics Corporation"/>
        <s v="Infinity Consulting Group"/>
        <s v="NextGen Manufacturing Corporation"/>
        <s v="Matrix Enterprises Enterprises"/>
        <s v="Apex Exports Corporation"/>
        <s v="Core Automation Enterprises"/>
        <s v="Golden Foods Pvt Ltd"/>
        <s v="Matrix Packaging Enterprises"/>
        <s v="Smart Pharma Enterprises"/>
        <s v="Zenith Healthcare Solutions"/>
        <s v="Zenith Exports Corporation"/>
        <s v="Royal Steel LLP"/>
        <s v="Matrix Healthcare Works"/>
        <s v="Titan Services Solutions"/>
        <s v="Zenith Retail LLP"/>
        <s v="Infinity Infra India"/>
        <s v="Alpha Solutions Corporation"/>
        <s v="Vertex Packaging Group"/>
        <s v="Bright Solutions Enterprises"/>
        <s v="Pioneer Textiles India"/>
        <s v="Dynamic Tech India"/>
        <s v="Sterling Retail Solutions"/>
        <s v="Matrix Logistics Group"/>
        <s v="Blue Enterprises Pvt Ltd"/>
        <s v="Fusion Automation India"/>
        <s v="Alpha Services Pvt Ltd"/>
        <s v="Future Digital Corporation"/>
        <s v="Smart Automation Pvt Ltd"/>
        <s v="Nova Logistics India"/>
        <s v="Fusion Exports Works"/>
        <s v="Infinity Steel Enterprises"/>
        <s v="Nova Solutions Corporation"/>
        <s v="NextGen Infra Group"/>
        <s v="Vertex Infra Enterprises"/>
        <s v="Future Retail Solutions"/>
        <s v="Golden Industries Corporation"/>
        <s v="Sterling Solutions Solutions"/>
        <s v="Sigma Services Solutions"/>
        <s v="Nova Logistics Solutions"/>
        <s v="Elite Energy LLP"/>
        <s v="Matrix Foods LLP"/>
        <s v="Green Tech Solutions"/>
        <s v="Fusion Engineering LLP"/>
        <s v="Apex Steel India"/>
        <s v="Alpha Solutions India"/>
        <s v="Infinity Automation Works"/>
        <s v="Titan Consulting LLP"/>
        <s v="Blue Analytics Corporation"/>
        <s v="Rapid Textiles Group"/>
        <s v="Elite Consulting Enterprises"/>
        <s v="Bright Analytics Group"/>
        <s v="Metro Foods Group"/>
        <s v="Alpha Engineering Pvt Ltd"/>
        <s v="Vertex Foods Group"/>
        <s v="Prime Manufacturing Solutions"/>
        <s v="Smart Traders Group"/>
        <s v="Prime Tech Corporation"/>
        <s v="Core Textiles Technologies"/>
        <s v="Golden Healthcare India"/>
        <s v="Alpha Engineering Group"/>
        <s v="Blue Tech Group"/>
        <s v="Infinity Digital Group"/>
        <s v="Golden Tech India"/>
        <s v="Golden Retail Solutions"/>
        <s v="Everest Manufacturing Pvt Ltd"/>
        <s v="Blue Pharma Pvt Ltd"/>
        <s v="Green Engineering Group"/>
        <s v="Metro Engineering Solutions"/>
        <s v="Zenith Analytics Group"/>
        <s v="Sterling Consulting Works"/>
        <s v="Vision Retail Technologies"/>
        <s v="Elite Packaging Works"/>
        <s v="Pioneer Tech LLP"/>
        <s v="Infinity Electronics Corporation"/>
        <s v="Summit Services Works"/>
        <s v="Elite Textiles Pvt Ltd"/>
        <s v="Global Packaging LLP"/>
        <s v="Bright Manufacturing Solutions"/>
        <s v="Sigma Foods India"/>
        <s v="Smart Retail Corporation"/>
        <s v="Smart Automation Enterprises"/>
        <s v="Apex Electronics Group"/>
        <s v="Blue Consulting Group"/>
        <s v="Dynamic Consulting Pvt Ltd"/>
        <s v="Future Tech Works"/>
        <s v="Prime Electronics Enterprises"/>
        <s v="Vertex Textiles Corporation"/>
        <s v="Pioneer Steel Works"/>
        <s v="Future Tech Technologies"/>
        <s v="Rapid Industries Works"/>
        <s v="Green Industries LLP"/>
        <s v="Summit Solutions Technologies"/>
        <s v="Rapid Packaging Group"/>
        <s v="Fusion Digital LLP"/>
        <s v="Titan Textiles India"/>
        <s v="Orbit Automation Solutions"/>
        <s v="Nexus Systems Solutions"/>
        <s v="Orbit Automation Enterprises"/>
        <s v="Vertex Solutions Enterprises"/>
        <s v="Bright Electronics India"/>
        <s v="Global Systems Works"/>
        <s v="Future Energy India"/>
        <s v="Rapid Systems India"/>
        <s v="Blue Textiles Works"/>
        <s v="Rapid Steel Works"/>
        <s v="Orbit Retail Corporation"/>
        <s v="Summit Steel Pvt Ltd"/>
        <s v="Metro Solutions Corporation"/>
        <s v="Dynamic Logistics LLP"/>
        <s v="Metro Packaging Solutions"/>
        <s v="Elite Textiles Corporation"/>
        <s v="Titan Digital Solutions"/>
        <s v="Prime Solutions Enterprises"/>
        <s v="Titan Infra Group"/>
        <s v="Silver Automation India"/>
        <s v="Fusion Manufacturing Solutions"/>
        <s v="Royal Textiles Pvt Ltd"/>
        <s v="Titan Infra Technologies"/>
        <s v="Apex Systems India"/>
        <s v="Fusion Engineering Group"/>
        <s v="Core Pharma Pvt Ltd"/>
        <s v="Elite Energy Corporation"/>
        <s v="Nova Tech Pvt Ltd"/>
        <s v="Metro Consulting Enterprises"/>
        <s v="Future Consulting LLP"/>
        <s v="Bright Traders Group"/>
        <s v="Sigma Solutions Works"/>
        <s v="Nova Manufacturing Enterprises"/>
        <s v="Sigma Systems Technologies"/>
        <s v="Everest Traders Solutions"/>
        <s v="Green Logistics Group"/>
        <s v="Urban Textiles Works"/>
      </sharedItems>
    </cacheField>
    <cacheField name="Contact Person" numFmtId="0">
      <sharedItems/>
    </cacheField>
    <cacheField name="Phone" numFmtId="0">
      <sharedItems containsSemiMixedTypes="0" containsString="0" containsNumber="1" containsInteger="1" minValue="9100191870" maxValue="9996226520"/>
    </cacheField>
    <cacheField name="Service" numFmtId="0">
      <sharedItems count="100">
        <s v="Sales Dashboard"/>
        <s v="Finance Dashboard"/>
        <s v="HR Dashboard"/>
        <s v="Inventory Dashboard"/>
        <s v="Marketing Dashboard"/>
        <s v="Executive Dashboard"/>
        <s v="KPI Dashboard"/>
        <s v="Retail Dashboard"/>
        <s v="Manufacturing Dashboard"/>
        <s v="Project Dashboard"/>
        <s v="Invoice Template"/>
        <s v="Expense Tracker"/>
        <s v="Budget Planner"/>
        <s v="Attendance Tracker"/>
        <s v="Payroll Tracker"/>
        <s v="CRM Tracker"/>
        <s v="Quotation Template"/>
        <s v="MIS Report"/>
        <s v="Sales Tracker"/>
        <s v="Purchase Tracker"/>
        <s v="Excel VBA Automation"/>
        <s v="n8n Workflow"/>
        <s v="Power Automate Flow"/>
        <s v="Email Automation"/>
        <s v="Reporting Automation"/>
        <s v="Invoice Automation"/>
        <s v="File Automation"/>
        <s v="Data Automation"/>
        <s v="API Integration"/>
        <s v="Workflow Automation"/>
        <s v="Power BI Sales"/>
        <s v="Power BI Finance"/>
        <s v="Power BI HR"/>
        <s v="Power BI Inventory"/>
        <s v="Power BI Executive"/>
        <s v="Power BI Marketing"/>
        <s v="Power BI Operations"/>
        <s v="Power BI Procurement"/>
        <s v="Power BI CRM"/>
        <s v="Power BI KPI"/>
        <s v="Financial Model"/>
        <s v="Cash Flow Model"/>
        <s v="Profit Analysis"/>
        <s v="Break-even Analysis"/>
        <s v="Budget Forecast"/>
        <s v="Variance Analysis"/>
        <s v="GST Report"/>
        <s v="P&amp;L Report"/>
        <s v="Balance Sheet Model"/>
        <s v="Investment Tracker"/>
        <s v="Stock Management"/>
        <s v="Warehouse Tracker"/>
        <s v="Barcode Inventory"/>
        <s v="Purchase Register"/>
        <s v="Stock Ageing"/>
        <s v="Inventory Forecast"/>
        <s v="Supplier Tracker"/>
        <s v="Asset Register"/>
        <s v="Material Planning"/>
        <s v="Dispatch Tracker"/>
        <s v="Standard Automation 61"/>
        <s v="Basic Tracker 62"/>
        <s v="Advanced Tracker 63"/>
        <s v="Standard Template 64"/>
        <s v="Enterprise Template 65"/>
        <s v="Basic Report 66"/>
        <s v="Basic Automation 67"/>
        <s v="Enterprise Dashboard 68"/>
        <s v="Pro Tracker 69"/>
        <s v="Pro Automation 70"/>
        <s v="Enterprise Dashboard 71"/>
        <s v="Custom Dashboard 72"/>
        <s v="Standard Template 73"/>
        <s v="Custom Dashboard 74"/>
        <s v="Standard Tracker 75"/>
        <s v="Premium Tracker 76"/>
        <s v="Standard Automation 77"/>
        <s v="Premium Automation 78"/>
        <s v="Standard Automation 79"/>
        <s v="Custom Automation 80"/>
        <s v="Standard Dashboard 81"/>
        <s v="Standard Template 82"/>
        <s v="Standard Automation 83"/>
        <s v="Premium Report 84"/>
        <s v="Enterprise Automation 85"/>
        <s v="Lite Report 86"/>
        <s v="Advanced Report 87"/>
        <s v="Standard Dashboard 88"/>
        <s v="Custom Report 89"/>
        <s v="Advanced Dashboard 90"/>
        <s v="Premium Automation 91"/>
        <s v="Lite Report 92"/>
        <s v="Enterprise Report 93"/>
        <s v="Standard Report 94"/>
        <s v="Advanced Report 95"/>
        <s v="Basic Template 96"/>
        <s v="Pro Dashboard 97"/>
        <s v="Premium Automation 98"/>
        <s v="Custom Report 99"/>
        <s v="Pro Tracker 100"/>
      </sharedItems>
    </cacheField>
    <cacheField name="Amount" numFmtId="0">
      <sharedItems containsSemiMixedTypes="0" containsString="0" containsNumber="1" containsInteger="1" minValue="3000" maxValue="59500"/>
    </cacheField>
    <cacheField name="Status" numFmtId="0">
      <sharedItems count="3">
        <s v="Cancelled"/>
        <s v="Paid "/>
        <s v="Pending "/>
      </sharedItems>
    </cacheField>
    <cacheField name="Days (Date)" numFmtId="0" databaseField="0">
      <fieldGroup base="1">
        <rangePr groupBy="days" startDate="2026-07-10T00:00:00" endDate="2026-12-17T00:00:00"/>
        <groupItems count="368">
          <s v="&lt;10-07-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6"/>
        </groupItems>
      </fieldGroup>
    </cacheField>
    <cacheField name="Months (Date)" numFmtId="0" databaseField="0">
      <fieldGroup base="1">
        <rangePr groupBy="months" startDate="2026-07-10T00:00:00" endDate="2026-12-17T00:00:00"/>
        <groupItems count="14">
          <s v="&lt;10-07-2026"/>
          <s v="Jan"/>
          <s v="Feb"/>
          <s v="Mar"/>
          <s v="Apr"/>
          <s v="May"/>
          <s v="Jun"/>
          <s v="Jul"/>
          <s v="Aug"/>
          <s v="Sep"/>
          <s v="Oct"/>
          <s v="Nov"/>
          <s v="Dec"/>
          <s v="&gt;17-12-2026"/>
        </groupItems>
      </fieldGroup>
    </cacheField>
  </cacheFields>
  <extLst>
    <ext xmlns:x14="http://schemas.microsoft.com/office/spreadsheetml/2009/9/main" uri="{725AE2AE-9491-48be-B2B4-4EB974FC3084}">
      <x14:pivotCacheDefinition pivotCacheId="361089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s v="C0001"/>
    <x v="0"/>
    <x v="0"/>
    <s v="Harsh Sharma"/>
    <n v="9177777868"/>
    <x v="0"/>
    <n v="6000"/>
    <x v="0"/>
  </r>
  <r>
    <s v="C0002"/>
    <x v="1"/>
    <x v="1"/>
    <s v="Deepak Mehta"/>
    <n v="9175006691"/>
    <x v="1"/>
    <n v="29500"/>
    <x v="1"/>
  </r>
  <r>
    <s v="C0003"/>
    <x v="2"/>
    <x v="2"/>
    <s v="Ankit Yadav"/>
    <n v="9525932421"/>
    <x v="2"/>
    <n v="17000"/>
    <x v="2"/>
  </r>
  <r>
    <s v="C0004"/>
    <x v="3"/>
    <x v="3"/>
    <s v="Neha Yadav"/>
    <n v="9431229838"/>
    <x v="3"/>
    <n v="45000"/>
    <x v="1"/>
  </r>
  <r>
    <s v="C0005"/>
    <x v="4"/>
    <x v="4"/>
    <s v="Varun Mishra"/>
    <n v="9167419149"/>
    <x v="4"/>
    <n v="19000"/>
    <x v="0"/>
  </r>
  <r>
    <s v="C0006"/>
    <x v="5"/>
    <x v="5"/>
    <s v="Riya Yadav"/>
    <n v="9586603020"/>
    <x v="5"/>
    <n v="48000"/>
    <x v="1"/>
  </r>
  <r>
    <s v="C0007"/>
    <x v="6"/>
    <x v="6"/>
    <s v="Sneha Kapoor"/>
    <n v="9468804211"/>
    <x v="6"/>
    <n v="31000"/>
    <x v="2"/>
  </r>
  <r>
    <s v="C0008"/>
    <x v="7"/>
    <x v="7"/>
    <s v="Suresh Gupta"/>
    <n v="9625020128"/>
    <x v="7"/>
    <n v="46500"/>
    <x v="1"/>
  </r>
  <r>
    <s v="C0009"/>
    <x v="8"/>
    <x v="8"/>
    <s v="Ankit Reddy"/>
    <n v="9589846746"/>
    <x v="8"/>
    <n v="30000"/>
    <x v="0"/>
  </r>
  <r>
    <s v="C0010"/>
    <x v="9"/>
    <x v="9"/>
    <s v="Harsh Yadav"/>
    <n v="9831472844"/>
    <x v="9"/>
    <n v="12500"/>
    <x v="1"/>
  </r>
  <r>
    <s v="C0011"/>
    <x v="10"/>
    <x v="10"/>
    <s v="Divya Verma"/>
    <n v="9630098818"/>
    <x v="10"/>
    <n v="6500"/>
    <x v="2"/>
  </r>
  <r>
    <s v="C0012"/>
    <x v="11"/>
    <x v="11"/>
    <s v="Priya Gupta"/>
    <n v="9582311296"/>
    <x v="11"/>
    <n v="47500"/>
    <x v="1"/>
  </r>
  <r>
    <s v="C0013"/>
    <x v="12"/>
    <x v="12"/>
    <s v="Meera Bansal"/>
    <n v="9508495730"/>
    <x v="12"/>
    <n v="11500"/>
    <x v="0"/>
  </r>
  <r>
    <s v="C0014"/>
    <x v="13"/>
    <x v="13"/>
    <s v="Amit Kapoor"/>
    <n v="9992379915"/>
    <x v="13"/>
    <n v="5500"/>
    <x v="1"/>
  </r>
  <r>
    <s v="C0015"/>
    <x v="14"/>
    <x v="14"/>
    <s v="Meera Yadav"/>
    <n v="9708104260"/>
    <x v="14"/>
    <n v="13000"/>
    <x v="2"/>
  </r>
  <r>
    <s v="C0016"/>
    <x v="15"/>
    <x v="15"/>
    <s v="Akash Mehta"/>
    <n v="9528400257"/>
    <x v="15"/>
    <n v="31500"/>
    <x v="1"/>
  </r>
  <r>
    <s v="C0017"/>
    <x v="16"/>
    <x v="16"/>
    <s v="Riya Gupta"/>
    <n v="9218034622"/>
    <x v="16"/>
    <n v="21500"/>
    <x v="0"/>
  </r>
  <r>
    <s v="C0018"/>
    <x v="17"/>
    <x v="17"/>
    <s v="Meera Yadav"/>
    <n v="9127381374"/>
    <x v="17"/>
    <n v="17500"/>
    <x v="1"/>
  </r>
  <r>
    <s v="C0019"/>
    <x v="18"/>
    <x v="18"/>
    <s v="Arjun Verma"/>
    <n v="9223859888"/>
    <x v="18"/>
    <n v="40000"/>
    <x v="2"/>
  </r>
  <r>
    <s v="C0020"/>
    <x v="19"/>
    <x v="19"/>
    <s v="Kavya Jain"/>
    <n v="9894946073"/>
    <x v="19"/>
    <n v="23000"/>
    <x v="1"/>
  </r>
  <r>
    <s v="C0021"/>
    <x v="20"/>
    <x v="20"/>
    <s v="Karan Mishra"/>
    <n v="9683226946"/>
    <x v="20"/>
    <n v="48000"/>
    <x v="0"/>
  </r>
  <r>
    <s v="C0022"/>
    <x v="21"/>
    <x v="21"/>
    <s v="Rohit Jain"/>
    <n v="9928862021"/>
    <x v="21"/>
    <n v="38500"/>
    <x v="1"/>
  </r>
  <r>
    <s v="C0023"/>
    <x v="22"/>
    <x v="22"/>
    <s v="Vikas Nair"/>
    <n v="9530231565"/>
    <x v="22"/>
    <n v="49000"/>
    <x v="2"/>
  </r>
  <r>
    <s v="C0024"/>
    <x v="23"/>
    <x v="23"/>
    <s v="Amit Reddy"/>
    <n v="9400023374"/>
    <x v="23"/>
    <n v="12500"/>
    <x v="1"/>
  </r>
  <r>
    <s v="C0025"/>
    <x v="24"/>
    <x v="24"/>
    <s v="Vikas Verma"/>
    <n v="9343573855"/>
    <x v="24"/>
    <n v="22500"/>
    <x v="0"/>
  </r>
  <r>
    <s v="C0026"/>
    <x v="25"/>
    <x v="25"/>
    <s v="Harsh Verma"/>
    <n v="9996197331"/>
    <x v="25"/>
    <n v="19500"/>
    <x v="1"/>
  </r>
  <r>
    <s v="C0027"/>
    <x v="26"/>
    <x v="26"/>
    <s v="Priya Reddy"/>
    <n v="9875053406"/>
    <x v="26"/>
    <n v="23500"/>
    <x v="2"/>
  </r>
  <r>
    <s v="C0028"/>
    <x v="27"/>
    <x v="27"/>
    <s v="Karan Yadav"/>
    <n v="9599669927"/>
    <x v="27"/>
    <n v="38000"/>
    <x v="1"/>
  </r>
  <r>
    <s v="C0029"/>
    <x v="28"/>
    <x v="28"/>
    <s v="Amit Sharma"/>
    <n v="9958303050"/>
    <x v="28"/>
    <n v="16500"/>
    <x v="0"/>
  </r>
  <r>
    <s v="C0030"/>
    <x v="29"/>
    <x v="29"/>
    <s v="Amit Singh"/>
    <n v="9328470563"/>
    <x v="29"/>
    <n v="12500"/>
    <x v="1"/>
  </r>
  <r>
    <s v="C0031"/>
    <x v="30"/>
    <x v="30"/>
    <s v="Rahul Joshi"/>
    <n v="9894485254"/>
    <x v="30"/>
    <n v="45500"/>
    <x v="2"/>
  </r>
  <r>
    <s v="C0032"/>
    <x v="31"/>
    <x v="31"/>
    <s v="Karan Agarwal"/>
    <n v="9648195686"/>
    <x v="31"/>
    <n v="17500"/>
    <x v="1"/>
  </r>
  <r>
    <s v="C0033"/>
    <x v="32"/>
    <x v="32"/>
    <s v="Rohit Gupta"/>
    <n v="9608409165"/>
    <x v="32"/>
    <n v="28000"/>
    <x v="0"/>
  </r>
  <r>
    <s v="C0034"/>
    <x v="33"/>
    <x v="33"/>
    <s v="Arjun Reddy"/>
    <n v="9933749898"/>
    <x v="33"/>
    <n v="5000"/>
    <x v="1"/>
  </r>
  <r>
    <s v="C0035"/>
    <x v="34"/>
    <x v="34"/>
    <s v="Neha Agarwal"/>
    <n v="9585520203"/>
    <x v="34"/>
    <n v="23500"/>
    <x v="2"/>
  </r>
  <r>
    <s v="C0036"/>
    <x v="35"/>
    <x v="35"/>
    <s v="Anjali Mishra"/>
    <n v="9397625709"/>
    <x v="35"/>
    <n v="27000"/>
    <x v="1"/>
  </r>
  <r>
    <s v="C0037"/>
    <x v="36"/>
    <x v="36"/>
    <s v="Pooja Joshi"/>
    <n v="9700773368"/>
    <x v="36"/>
    <n v="12500"/>
    <x v="0"/>
  </r>
  <r>
    <s v="C0038"/>
    <x v="37"/>
    <x v="37"/>
    <s v="Suresh Verma"/>
    <n v="9820647678"/>
    <x v="37"/>
    <n v="44000"/>
    <x v="1"/>
  </r>
  <r>
    <s v="C0039"/>
    <x v="38"/>
    <x v="38"/>
    <s v="Aditya Bansal"/>
    <n v="9808945035"/>
    <x v="38"/>
    <n v="21500"/>
    <x v="2"/>
  </r>
  <r>
    <s v="C0040"/>
    <x v="39"/>
    <x v="39"/>
    <s v="Akash Joshi"/>
    <n v="9623192278"/>
    <x v="39"/>
    <n v="17000"/>
    <x v="1"/>
  </r>
  <r>
    <s v="C0041"/>
    <x v="40"/>
    <x v="40"/>
    <s v="Deepak Patel"/>
    <n v="9482912221"/>
    <x v="40"/>
    <n v="44500"/>
    <x v="0"/>
  </r>
  <r>
    <s v="C0042"/>
    <x v="41"/>
    <x v="41"/>
    <s v="Aditya Sharma"/>
    <n v="9512686830"/>
    <x v="41"/>
    <n v="37500"/>
    <x v="1"/>
  </r>
  <r>
    <s v="C0043"/>
    <x v="42"/>
    <x v="42"/>
    <s v="Priya Singh"/>
    <n v="9391972375"/>
    <x v="42"/>
    <n v="47000"/>
    <x v="2"/>
  </r>
  <r>
    <s v="C0044"/>
    <x v="43"/>
    <x v="43"/>
    <s v="Akash Gupta"/>
    <n v="9676168666"/>
    <x v="43"/>
    <n v="8500"/>
    <x v="1"/>
  </r>
  <r>
    <s v="C0045"/>
    <x v="44"/>
    <x v="44"/>
    <s v="Deepak Joshi"/>
    <n v="9177754046"/>
    <x v="44"/>
    <n v="15500"/>
    <x v="0"/>
  </r>
  <r>
    <s v="C0046"/>
    <x v="45"/>
    <x v="45"/>
    <s v="Priya Singh"/>
    <n v="9230650282"/>
    <x v="45"/>
    <n v="32500"/>
    <x v="1"/>
  </r>
  <r>
    <s v="C0047"/>
    <x v="46"/>
    <x v="46"/>
    <s v="Aditya Patel"/>
    <n v="9217522609"/>
    <x v="46"/>
    <n v="12500"/>
    <x v="2"/>
  </r>
  <r>
    <s v="C0048"/>
    <x v="47"/>
    <x v="47"/>
    <s v="Sneha Reddy"/>
    <n v="9321052888"/>
    <x v="47"/>
    <n v="49500"/>
    <x v="1"/>
  </r>
  <r>
    <s v="C0049"/>
    <x v="48"/>
    <x v="48"/>
    <s v="Rahul Sharma"/>
    <n v="9119793247"/>
    <x v="48"/>
    <n v="14500"/>
    <x v="0"/>
  </r>
  <r>
    <s v="C0050"/>
    <x v="49"/>
    <x v="49"/>
    <s v="Neha Bansal"/>
    <n v="9979308807"/>
    <x v="49"/>
    <n v="30500"/>
    <x v="1"/>
  </r>
  <r>
    <s v="C0051"/>
    <x v="50"/>
    <x v="50"/>
    <s v="Vikas Jain"/>
    <n v="9313271411"/>
    <x v="50"/>
    <n v="24000"/>
    <x v="2"/>
  </r>
  <r>
    <s v="C0052"/>
    <x v="51"/>
    <x v="51"/>
    <s v="Priya Bansal"/>
    <n v="9895523712"/>
    <x v="51"/>
    <n v="46000"/>
    <x v="1"/>
  </r>
  <r>
    <s v="C0053"/>
    <x v="52"/>
    <x v="52"/>
    <s v="Divya Patel"/>
    <n v="9843765415"/>
    <x v="52"/>
    <n v="28500"/>
    <x v="0"/>
  </r>
  <r>
    <s v="C0054"/>
    <x v="53"/>
    <x v="53"/>
    <s v="Pooja Jain"/>
    <n v="9453181781"/>
    <x v="53"/>
    <n v="10000"/>
    <x v="1"/>
  </r>
  <r>
    <s v="C0055"/>
    <x v="54"/>
    <x v="54"/>
    <s v="Amit Jain"/>
    <n v="9509768451"/>
    <x v="54"/>
    <n v="5000"/>
    <x v="2"/>
  </r>
  <r>
    <s v="C0056"/>
    <x v="55"/>
    <x v="55"/>
    <s v="Priya Singh"/>
    <n v="9977294617"/>
    <x v="55"/>
    <n v="25500"/>
    <x v="1"/>
  </r>
  <r>
    <s v="C0057"/>
    <x v="56"/>
    <x v="56"/>
    <s v="Harsh Patel"/>
    <n v="9190712619"/>
    <x v="56"/>
    <n v="10500"/>
    <x v="0"/>
  </r>
  <r>
    <s v="C0058"/>
    <x v="57"/>
    <x v="57"/>
    <s v="Kavya Kapoor"/>
    <n v="9260484838"/>
    <x v="57"/>
    <n v="45000"/>
    <x v="1"/>
  </r>
  <r>
    <s v="C0059"/>
    <x v="58"/>
    <x v="58"/>
    <s v="Karan Joshi"/>
    <n v="9662380097"/>
    <x v="58"/>
    <n v="16000"/>
    <x v="2"/>
  </r>
  <r>
    <s v="C0060"/>
    <x v="59"/>
    <x v="59"/>
    <s v="Harsh Jain"/>
    <n v="9212653207"/>
    <x v="59"/>
    <n v="44500"/>
    <x v="1"/>
  </r>
  <r>
    <s v="C0061"/>
    <x v="60"/>
    <x v="60"/>
    <s v="Arjun Singh"/>
    <n v="9103558733"/>
    <x v="60"/>
    <n v="34000"/>
    <x v="0"/>
  </r>
  <r>
    <s v="C0062"/>
    <x v="61"/>
    <x v="61"/>
    <s v="Priya Mishra"/>
    <n v="9891120442"/>
    <x v="61"/>
    <n v="59500"/>
    <x v="1"/>
  </r>
  <r>
    <s v="C0063"/>
    <x v="62"/>
    <x v="62"/>
    <s v="Arjun Nair"/>
    <n v="9510771188"/>
    <x v="62"/>
    <n v="20500"/>
    <x v="2"/>
  </r>
  <r>
    <s v="C0064"/>
    <x v="63"/>
    <x v="63"/>
    <s v="Suresh Singh"/>
    <n v="9799579688"/>
    <x v="63"/>
    <n v="11500"/>
    <x v="1"/>
  </r>
  <r>
    <s v="C0065"/>
    <x v="64"/>
    <x v="64"/>
    <s v="Pooja Bansal"/>
    <n v="9206857784"/>
    <x v="64"/>
    <n v="40000"/>
    <x v="0"/>
  </r>
  <r>
    <s v="C0066"/>
    <x v="65"/>
    <x v="65"/>
    <s v="Riya Reddy"/>
    <n v="9227241474"/>
    <x v="65"/>
    <n v="41000"/>
    <x v="1"/>
  </r>
  <r>
    <s v="C0067"/>
    <x v="66"/>
    <x v="66"/>
    <s v="Priya Nair"/>
    <n v="9643977481"/>
    <x v="66"/>
    <n v="15000"/>
    <x v="2"/>
  </r>
  <r>
    <s v="C0068"/>
    <x v="67"/>
    <x v="67"/>
    <s v="Karan Mishra"/>
    <n v="9662711277"/>
    <x v="67"/>
    <n v="14000"/>
    <x v="1"/>
  </r>
  <r>
    <s v="C0069"/>
    <x v="68"/>
    <x v="68"/>
    <s v="Aditya Jain"/>
    <n v="9348446255"/>
    <x v="68"/>
    <n v="33500"/>
    <x v="0"/>
  </r>
  <r>
    <s v="C0070"/>
    <x v="69"/>
    <x v="69"/>
    <s v="Nisha Kapoor"/>
    <n v="9535315694"/>
    <x v="69"/>
    <n v="14000"/>
    <x v="1"/>
  </r>
  <r>
    <s v="C0071"/>
    <x v="70"/>
    <x v="70"/>
    <s v="Suresh Sharma"/>
    <n v="9448480313"/>
    <x v="70"/>
    <n v="49000"/>
    <x v="2"/>
  </r>
  <r>
    <s v="C0072"/>
    <x v="71"/>
    <x v="71"/>
    <s v="Pooja Jain"/>
    <n v="9169768902"/>
    <x v="71"/>
    <n v="50500"/>
    <x v="1"/>
  </r>
  <r>
    <s v="C0073"/>
    <x v="72"/>
    <x v="72"/>
    <s v="Neha Sharma"/>
    <n v="9996226520"/>
    <x v="72"/>
    <n v="41000"/>
    <x v="0"/>
  </r>
  <r>
    <s v="C0074"/>
    <x v="73"/>
    <x v="73"/>
    <s v="Anjali Reddy"/>
    <n v="9500880736"/>
    <x v="73"/>
    <n v="5000"/>
    <x v="1"/>
  </r>
  <r>
    <s v="C0075"/>
    <x v="74"/>
    <x v="74"/>
    <s v="Rahul Joshi"/>
    <n v="9886357475"/>
    <x v="74"/>
    <n v="44000"/>
    <x v="2"/>
  </r>
  <r>
    <s v="C0076"/>
    <x v="75"/>
    <x v="75"/>
    <s v="Rohit Kapoor"/>
    <n v="9545459676"/>
    <x v="75"/>
    <n v="39500"/>
    <x v="1"/>
  </r>
  <r>
    <s v="C0077"/>
    <x v="76"/>
    <x v="76"/>
    <s v="Nitin Kapoor"/>
    <n v="9698419618"/>
    <x v="76"/>
    <n v="49500"/>
    <x v="0"/>
  </r>
  <r>
    <s v="C0078"/>
    <x v="77"/>
    <x v="77"/>
    <s v="Arjun Agarwal"/>
    <n v="9336250319"/>
    <x v="77"/>
    <n v="13500"/>
    <x v="1"/>
  </r>
  <r>
    <s v="C0079"/>
    <x v="78"/>
    <x v="78"/>
    <s v="Vikas Verma"/>
    <n v="9287577427"/>
    <x v="78"/>
    <n v="3000"/>
    <x v="2"/>
  </r>
  <r>
    <s v="C0080"/>
    <x v="79"/>
    <x v="79"/>
    <s v="Amit Mishra"/>
    <n v="9543220928"/>
    <x v="79"/>
    <n v="12500"/>
    <x v="1"/>
  </r>
  <r>
    <s v="C0081"/>
    <x v="80"/>
    <x v="80"/>
    <s v="Arjun Singh"/>
    <n v="9716629275"/>
    <x v="80"/>
    <n v="59000"/>
    <x v="0"/>
  </r>
  <r>
    <s v="C0082"/>
    <x v="81"/>
    <x v="81"/>
    <s v="Akash Mehta"/>
    <n v="9793413569"/>
    <x v="81"/>
    <n v="34500"/>
    <x v="1"/>
  </r>
  <r>
    <s v="C0083"/>
    <x v="82"/>
    <x v="82"/>
    <s v="Ankit Kapoor"/>
    <n v="9100191870"/>
    <x v="82"/>
    <n v="32500"/>
    <x v="2"/>
  </r>
  <r>
    <s v="C0084"/>
    <x v="83"/>
    <x v="83"/>
    <s v="Karan Gupta"/>
    <n v="9660885798"/>
    <x v="83"/>
    <n v="37000"/>
    <x v="1"/>
  </r>
  <r>
    <s v="C0085"/>
    <x v="84"/>
    <x v="84"/>
    <s v="Vikas Yadav"/>
    <n v="9140363815"/>
    <x v="84"/>
    <n v="15500"/>
    <x v="0"/>
  </r>
  <r>
    <s v="C0086"/>
    <x v="85"/>
    <x v="85"/>
    <s v="Aditya Reddy"/>
    <n v="9220401557"/>
    <x v="85"/>
    <n v="16000"/>
    <x v="1"/>
  </r>
  <r>
    <s v="C0087"/>
    <x v="86"/>
    <x v="86"/>
    <s v="Vikas Reddy"/>
    <n v="9745384230"/>
    <x v="86"/>
    <n v="35000"/>
    <x v="2"/>
  </r>
  <r>
    <s v="C0088"/>
    <x v="87"/>
    <x v="87"/>
    <s v="Arjun Agarwal"/>
    <n v="9352080325"/>
    <x v="87"/>
    <n v="9500"/>
    <x v="1"/>
  </r>
  <r>
    <s v="C0089"/>
    <x v="88"/>
    <x v="88"/>
    <s v="Arjun Joshi"/>
    <n v="9824199412"/>
    <x v="88"/>
    <n v="16000"/>
    <x v="0"/>
  </r>
  <r>
    <s v="C0090"/>
    <x v="89"/>
    <x v="89"/>
    <s v="Arjun Sharma"/>
    <n v="9847134030"/>
    <x v="89"/>
    <n v="51000"/>
    <x v="1"/>
  </r>
  <r>
    <s v="C0091"/>
    <x v="90"/>
    <x v="90"/>
    <s v="Kavya Nair"/>
    <n v="9642109043"/>
    <x v="90"/>
    <n v="4500"/>
    <x v="2"/>
  </r>
  <r>
    <s v="C0092"/>
    <x v="91"/>
    <x v="91"/>
    <s v="Vikas Singh"/>
    <n v="9916549236"/>
    <x v="91"/>
    <n v="36000"/>
    <x v="1"/>
  </r>
  <r>
    <s v="C0093"/>
    <x v="92"/>
    <x v="92"/>
    <s v="Divya Gupta"/>
    <n v="9522474439"/>
    <x v="92"/>
    <n v="59500"/>
    <x v="0"/>
  </r>
  <r>
    <s v="C0094"/>
    <x v="93"/>
    <x v="93"/>
    <s v="Rohit Mehta"/>
    <n v="9582799376"/>
    <x v="93"/>
    <n v="16500"/>
    <x v="1"/>
  </r>
  <r>
    <s v="C0095"/>
    <x v="94"/>
    <x v="94"/>
    <s v="Rohit Bansal"/>
    <n v="9663497104"/>
    <x v="94"/>
    <n v="52500"/>
    <x v="2"/>
  </r>
  <r>
    <s v="C0096"/>
    <x v="95"/>
    <x v="95"/>
    <s v="Rohit Verma"/>
    <n v="9103082418"/>
    <x v="95"/>
    <n v="7500"/>
    <x v="1"/>
  </r>
  <r>
    <s v="C0097"/>
    <x v="96"/>
    <x v="96"/>
    <s v="Akash Jain"/>
    <n v="9925419790"/>
    <x v="96"/>
    <n v="5500"/>
    <x v="0"/>
  </r>
  <r>
    <s v="C0098"/>
    <x v="97"/>
    <x v="97"/>
    <s v="Varun Joshi"/>
    <n v="9579261983"/>
    <x v="97"/>
    <n v="24500"/>
    <x v="1"/>
  </r>
  <r>
    <s v="C0099"/>
    <x v="98"/>
    <x v="98"/>
    <s v="Rahul Mehta"/>
    <n v="9137424614"/>
    <x v="98"/>
    <n v="14500"/>
    <x v="2"/>
  </r>
  <r>
    <s v="C0100"/>
    <x v="99"/>
    <x v="99"/>
    <s v="Meera Singh"/>
    <n v="9459672275"/>
    <x v="99"/>
    <n v="53000"/>
    <x v="1"/>
  </r>
  <r>
    <s v="C0101"/>
    <x v="100"/>
    <x v="100"/>
    <s v="Amit Nair"/>
    <n v="9351111984"/>
    <x v="0"/>
    <n v="6000"/>
    <x v="0"/>
  </r>
  <r>
    <s v="C0102"/>
    <x v="101"/>
    <x v="101"/>
    <s v="Arjun Gupta"/>
    <n v="9109347112"/>
    <x v="1"/>
    <n v="29500"/>
    <x v="1"/>
  </r>
  <r>
    <s v="C0103"/>
    <x v="102"/>
    <x v="102"/>
    <s v="Divya Verma"/>
    <n v="9649632103"/>
    <x v="2"/>
    <n v="17000"/>
    <x v="2"/>
  </r>
  <r>
    <s v="C0104"/>
    <x v="103"/>
    <x v="103"/>
    <s v="Arjun Agarwal"/>
    <n v="9684777643"/>
    <x v="3"/>
    <n v="45000"/>
    <x v="1"/>
  </r>
  <r>
    <s v="C0105"/>
    <x v="104"/>
    <x v="104"/>
    <s v="Anjali Verma"/>
    <n v="9552110031"/>
    <x v="4"/>
    <n v="19000"/>
    <x v="0"/>
  </r>
  <r>
    <s v="C0106"/>
    <x v="105"/>
    <x v="105"/>
    <s v="Divya Joshi"/>
    <n v="9823818620"/>
    <x v="5"/>
    <n v="48000"/>
    <x v="1"/>
  </r>
  <r>
    <s v="C0107"/>
    <x v="106"/>
    <x v="106"/>
    <s v="Meera Singh"/>
    <n v="9892493869"/>
    <x v="6"/>
    <n v="31000"/>
    <x v="2"/>
  </r>
  <r>
    <s v="C0108"/>
    <x v="107"/>
    <x v="107"/>
    <s v="Nitin Joshi"/>
    <n v="9720924237"/>
    <x v="7"/>
    <n v="46500"/>
    <x v="1"/>
  </r>
  <r>
    <s v="C0109"/>
    <x v="108"/>
    <x v="108"/>
    <s v="Vikas Bansal"/>
    <n v="9968058944"/>
    <x v="8"/>
    <n v="30000"/>
    <x v="0"/>
  </r>
  <r>
    <s v="C0110"/>
    <x v="109"/>
    <x v="109"/>
    <s v="Riya Joshi"/>
    <n v="9501446613"/>
    <x v="9"/>
    <n v="12500"/>
    <x v="1"/>
  </r>
  <r>
    <s v="C0111"/>
    <x v="110"/>
    <x v="110"/>
    <s v="Priya Jain"/>
    <n v="9650474151"/>
    <x v="10"/>
    <n v="6500"/>
    <x v="2"/>
  </r>
  <r>
    <s v="C0112"/>
    <x v="111"/>
    <x v="111"/>
    <s v="Meera Jain"/>
    <n v="9251794331"/>
    <x v="11"/>
    <n v="47500"/>
    <x v="1"/>
  </r>
  <r>
    <s v="C0113"/>
    <x v="112"/>
    <x v="112"/>
    <s v="Deepak Bansal"/>
    <n v="9499227139"/>
    <x v="12"/>
    <n v="11500"/>
    <x v="0"/>
  </r>
  <r>
    <s v="C0114"/>
    <x v="113"/>
    <x v="113"/>
    <s v="Arjun Verma"/>
    <n v="9538269252"/>
    <x v="13"/>
    <n v="5500"/>
    <x v="1"/>
  </r>
  <r>
    <s v="C0115"/>
    <x v="114"/>
    <x v="114"/>
    <s v="Akash Mishra"/>
    <n v="9391163211"/>
    <x v="14"/>
    <n v="13000"/>
    <x v="2"/>
  </r>
  <r>
    <s v="C0116"/>
    <x v="115"/>
    <x v="115"/>
    <s v="Deepak Mehta"/>
    <n v="9119556248"/>
    <x v="15"/>
    <n v="31500"/>
    <x v="1"/>
  </r>
  <r>
    <s v="C0117"/>
    <x v="116"/>
    <x v="116"/>
    <s v="Rohit Mehta"/>
    <n v="9221911884"/>
    <x v="16"/>
    <n v="21500"/>
    <x v="0"/>
  </r>
  <r>
    <s v="C0118"/>
    <x v="117"/>
    <x v="117"/>
    <s v="Kavya Agarwal"/>
    <n v="9284346077"/>
    <x v="17"/>
    <n v="17500"/>
    <x v="1"/>
  </r>
  <r>
    <s v="C0119"/>
    <x v="118"/>
    <x v="118"/>
    <s v="Akash Kapoor"/>
    <n v="9909124394"/>
    <x v="18"/>
    <n v="40000"/>
    <x v="2"/>
  </r>
  <r>
    <s v="C0120"/>
    <x v="119"/>
    <x v="119"/>
    <s v="Priya Joshi"/>
    <n v="9864837338"/>
    <x v="19"/>
    <n v="23000"/>
    <x v="1"/>
  </r>
  <r>
    <s v="C0121"/>
    <x v="120"/>
    <x v="120"/>
    <s v="Arjun Gupta"/>
    <n v="9707122916"/>
    <x v="20"/>
    <n v="48000"/>
    <x v="0"/>
  </r>
  <r>
    <s v="C0122"/>
    <x v="121"/>
    <x v="121"/>
    <s v="Karan Patel"/>
    <n v="9878336856"/>
    <x v="21"/>
    <n v="38500"/>
    <x v="1"/>
  </r>
  <r>
    <s v="C0123"/>
    <x v="122"/>
    <x v="122"/>
    <s v="Harsh Mehta"/>
    <n v="9430939711"/>
    <x v="22"/>
    <n v="49000"/>
    <x v="2"/>
  </r>
  <r>
    <s v="C0124"/>
    <x v="123"/>
    <x v="123"/>
    <s v="Rohit Sharma"/>
    <n v="9103766788"/>
    <x v="23"/>
    <n v="12500"/>
    <x v="1"/>
  </r>
  <r>
    <s v="C0125"/>
    <x v="124"/>
    <x v="124"/>
    <s v="Akash Verma"/>
    <n v="9172070263"/>
    <x v="24"/>
    <n v="22500"/>
    <x v="0"/>
  </r>
  <r>
    <s v="C0126"/>
    <x v="125"/>
    <x v="125"/>
    <s v="Nisha Sharma"/>
    <n v="9143649358"/>
    <x v="25"/>
    <n v="19500"/>
    <x v="1"/>
  </r>
  <r>
    <s v="C0127"/>
    <x v="126"/>
    <x v="126"/>
    <s v="Akash Bansal"/>
    <n v="9942074269"/>
    <x v="26"/>
    <n v="23500"/>
    <x v="2"/>
  </r>
  <r>
    <s v="C0128"/>
    <x v="127"/>
    <x v="127"/>
    <s v="Rohit Bansal"/>
    <n v="9946518213"/>
    <x v="27"/>
    <n v="38000"/>
    <x v="1"/>
  </r>
  <r>
    <s v="C0129"/>
    <x v="128"/>
    <x v="128"/>
    <s v="Divya Singh"/>
    <n v="9975772452"/>
    <x v="28"/>
    <n v="16500"/>
    <x v="0"/>
  </r>
  <r>
    <s v="C0130"/>
    <x v="129"/>
    <x v="129"/>
    <s v="Divya Agarwal"/>
    <n v="9354905424"/>
    <x v="29"/>
    <n v="12500"/>
    <x v="1"/>
  </r>
  <r>
    <s v="C0131"/>
    <x v="130"/>
    <x v="130"/>
    <s v="Nisha Jain"/>
    <n v="9504629761"/>
    <x v="30"/>
    <n v="45500"/>
    <x v="2"/>
  </r>
  <r>
    <s v="C0132"/>
    <x v="131"/>
    <x v="131"/>
    <s v="Riya Agarwal"/>
    <n v="9659905371"/>
    <x v="31"/>
    <n v="17500"/>
    <x v="1"/>
  </r>
  <r>
    <s v="C0133"/>
    <x v="132"/>
    <x v="132"/>
    <s v="Pooja Mehta"/>
    <n v="9496151114"/>
    <x v="32"/>
    <n v="28000"/>
    <x v="0"/>
  </r>
  <r>
    <s v="C0134"/>
    <x v="133"/>
    <x v="133"/>
    <s v="Divya Mishra"/>
    <n v="9151852558"/>
    <x v="33"/>
    <n v="5000"/>
    <x v="1"/>
  </r>
  <r>
    <s v="C0135"/>
    <x v="134"/>
    <x v="134"/>
    <s v="Kavya Sharma"/>
    <n v="9337981466"/>
    <x v="34"/>
    <n v="23500"/>
    <x v="2"/>
  </r>
  <r>
    <s v="C0136"/>
    <x v="135"/>
    <x v="135"/>
    <s v="Arjun Patel"/>
    <n v="9757687733"/>
    <x v="35"/>
    <n v="27000"/>
    <x v="1"/>
  </r>
  <r>
    <s v="C0137"/>
    <x v="136"/>
    <x v="136"/>
    <s v="Sneha Jain"/>
    <n v="9673499589"/>
    <x v="36"/>
    <n v="12500"/>
    <x v="0"/>
  </r>
  <r>
    <s v="C0138"/>
    <x v="137"/>
    <x v="137"/>
    <s v="Rohit Gupta"/>
    <n v="9115152664"/>
    <x v="37"/>
    <n v="44000"/>
    <x v="1"/>
  </r>
  <r>
    <s v="C0139"/>
    <x v="138"/>
    <x v="138"/>
    <s v="Nisha Reddy"/>
    <n v="9389652746"/>
    <x v="38"/>
    <n v="21500"/>
    <x v="2"/>
  </r>
  <r>
    <s v="C0140"/>
    <x v="139"/>
    <x v="139"/>
    <s v="Divya Joshi"/>
    <n v="9655749968"/>
    <x v="39"/>
    <n v="17000"/>
    <x v="1"/>
  </r>
  <r>
    <s v="C0141"/>
    <x v="140"/>
    <x v="140"/>
    <s v="Amit Mehta"/>
    <n v="9299348635"/>
    <x v="40"/>
    <n v="44500"/>
    <x v="0"/>
  </r>
  <r>
    <s v="C0142"/>
    <x v="141"/>
    <x v="141"/>
    <s v="Karan Mehta"/>
    <n v="9314231104"/>
    <x v="41"/>
    <n v="37500"/>
    <x v="1"/>
  </r>
  <r>
    <s v="C0143"/>
    <x v="142"/>
    <x v="142"/>
    <s v="Priya Singh"/>
    <n v="9772123530"/>
    <x v="42"/>
    <n v="47000"/>
    <x v="2"/>
  </r>
  <r>
    <s v="C0144"/>
    <x v="143"/>
    <x v="143"/>
    <s v="Priya Mishra"/>
    <n v="9803871333"/>
    <x v="43"/>
    <n v="8500"/>
    <x v="1"/>
  </r>
  <r>
    <s v="C0145"/>
    <x v="144"/>
    <x v="144"/>
    <s v="Neha Jain"/>
    <n v="9904934916"/>
    <x v="44"/>
    <n v="15500"/>
    <x v="0"/>
  </r>
  <r>
    <s v="C0146"/>
    <x v="145"/>
    <x v="145"/>
    <s v="Nisha Reddy"/>
    <n v="9661829643"/>
    <x v="45"/>
    <n v="32500"/>
    <x v="1"/>
  </r>
  <r>
    <s v="C0147"/>
    <x v="146"/>
    <x v="146"/>
    <s v="Vikas Nair"/>
    <n v="9898733637"/>
    <x v="46"/>
    <n v="12500"/>
    <x v="2"/>
  </r>
  <r>
    <s v="C0148"/>
    <x v="147"/>
    <x v="147"/>
    <s v="Akash Joshi"/>
    <n v="9777204713"/>
    <x v="47"/>
    <n v="49500"/>
    <x v="1"/>
  </r>
  <r>
    <s v="C0149"/>
    <x v="148"/>
    <x v="148"/>
    <s v="Amit Mehta"/>
    <n v="9878058375"/>
    <x v="48"/>
    <n v="14500"/>
    <x v="0"/>
  </r>
  <r>
    <s v="C0150"/>
    <x v="149"/>
    <x v="149"/>
    <s v="Karan Sharma"/>
    <n v="9128886392"/>
    <x v="49"/>
    <n v="30500"/>
    <x v="1"/>
  </r>
  <r>
    <s v="C0151"/>
    <x v="150"/>
    <x v="150"/>
    <s v="Karan Mishra"/>
    <n v="9791000889"/>
    <x v="50"/>
    <n v="24000"/>
    <x v="2"/>
  </r>
  <r>
    <s v="C0152"/>
    <x v="151"/>
    <x v="151"/>
    <s v="Nisha Verma"/>
    <n v="9911504608"/>
    <x v="51"/>
    <n v="46000"/>
    <x v="1"/>
  </r>
  <r>
    <s v="C0153"/>
    <x v="152"/>
    <x v="152"/>
    <s v="Rahul Sharma"/>
    <n v="9971898776"/>
    <x v="52"/>
    <n v="28500"/>
    <x v="0"/>
  </r>
  <r>
    <s v="C0154"/>
    <x v="153"/>
    <x v="153"/>
    <s v="Nitin Jain"/>
    <n v="9461331100"/>
    <x v="53"/>
    <n v="10000"/>
    <x v="1"/>
  </r>
  <r>
    <s v="C0155"/>
    <x v="154"/>
    <x v="154"/>
    <s v="Suresh Reddy"/>
    <n v="9746401565"/>
    <x v="54"/>
    <n v="5000"/>
    <x v="2"/>
  </r>
  <r>
    <s v="C0156"/>
    <x v="155"/>
    <x v="155"/>
    <s v="Neha Jain"/>
    <n v="9603522284"/>
    <x v="55"/>
    <n v="25500"/>
    <x v="1"/>
  </r>
  <r>
    <s v="C0157"/>
    <x v="156"/>
    <x v="156"/>
    <s v="Amit Agarwal"/>
    <n v="9316933609"/>
    <x v="56"/>
    <n v="10500"/>
    <x v="0"/>
  </r>
  <r>
    <s v="C0158"/>
    <x v="157"/>
    <x v="157"/>
    <s v="Aditya Reddy"/>
    <n v="9986201964"/>
    <x v="57"/>
    <n v="45000"/>
    <x v="1"/>
  </r>
  <r>
    <s v="C0159"/>
    <x v="158"/>
    <x v="158"/>
    <s v="Aditya Patel"/>
    <n v="9635062306"/>
    <x v="58"/>
    <n v="16000"/>
    <x v="2"/>
  </r>
  <r>
    <s v="C0160"/>
    <x v="159"/>
    <x v="159"/>
    <s v="Meera Verma"/>
    <n v="9530860990"/>
    <x v="59"/>
    <n v="445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EC6F9-37D2-421E-A0E1-9E80970160FC}" name="PivotTable1"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10" firstHeaderRow="1" firstDataRow="1" firstDataCol="1"/>
  <pivotFields count="10">
    <pivotField showAll="0"/>
    <pivotField axis="axisRow"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7">
    <i>
      <x v="7"/>
    </i>
    <i>
      <x v="8"/>
    </i>
    <i>
      <x v="9"/>
    </i>
    <i>
      <x v="10"/>
    </i>
    <i>
      <x v="11"/>
    </i>
    <i>
      <x v="12"/>
    </i>
    <i t="grand">
      <x/>
    </i>
  </rowItems>
  <colItems count="1">
    <i/>
  </colItems>
  <dataFields count="1">
    <dataField name="Sum of Amount" fld="6" baseField="0" baseItem="0" numFmtId="164"/>
  </dataFields>
  <formats count="2">
    <format dxfId="6">
      <pivotArea outline="0" collapsedLevelsAreSubtotals="1" fieldPosition="0"/>
    </format>
    <format dxfId="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C4770-A1CB-4093-865C-2A64CA7E1BD4}" name="PivotTable5"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6:K42" firstHeaderRow="1" firstDataRow="1" firstDataCol="1"/>
  <pivotFields count="10">
    <pivotField showAll="0"/>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measureFilter="1"/>
    <pivotField showAll="0"/>
    <pivotField showAll="0"/>
    <pivotField axis="axisRow" showAll="0" measureFilter="1">
      <items count="101">
        <item x="89"/>
        <item x="86"/>
        <item x="94"/>
        <item x="62"/>
        <item x="28"/>
        <item x="57"/>
        <item x="13"/>
        <item x="48"/>
        <item x="52"/>
        <item x="66"/>
        <item x="65"/>
        <item x="95"/>
        <item x="61"/>
        <item x="43"/>
        <item x="44"/>
        <item x="12"/>
        <item x="41"/>
        <item x="15"/>
        <item x="79"/>
        <item x="71"/>
        <item x="73"/>
        <item x="88"/>
        <item x="98"/>
        <item x="27"/>
        <item x="59"/>
        <item x="23"/>
        <item x="84"/>
        <item x="67"/>
        <item x="70"/>
        <item x="92"/>
        <item x="64"/>
        <item x="20"/>
        <item x="5"/>
        <item x="11"/>
        <item x="26"/>
        <item x="1"/>
        <item x="40"/>
        <item x="46"/>
        <item x="2"/>
        <item x="3"/>
        <item x="55"/>
        <item x="49"/>
        <item x="25"/>
        <item x="10"/>
        <item x="6"/>
        <item x="85"/>
        <item x="91"/>
        <item x="8"/>
        <item x="4"/>
        <item x="58"/>
        <item x="17"/>
        <item x="21"/>
        <item x="47"/>
        <item x="14"/>
        <item x="22"/>
        <item x="38"/>
        <item x="34"/>
        <item x="31"/>
        <item x="32"/>
        <item x="33"/>
        <item x="39"/>
        <item x="35"/>
        <item x="36"/>
        <item x="37"/>
        <item x="30"/>
        <item x="77"/>
        <item x="90"/>
        <item x="97"/>
        <item x="83"/>
        <item x="75"/>
        <item x="69"/>
        <item x="96"/>
        <item x="99"/>
        <item x="68"/>
        <item x="42"/>
        <item x="9"/>
        <item x="53"/>
        <item x="19"/>
        <item x="16"/>
        <item x="24"/>
        <item x="7"/>
        <item x="0"/>
        <item x="18"/>
        <item x="60"/>
        <item x="76"/>
        <item x="78"/>
        <item x="82"/>
        <item x="80"/>
        <item x="87"/>
        <item x="93"/>
        <item x="63"/>
        <item x="72"/>
        <item x="81"/>
        <item x="74"/>
        <item x="54"/>
        <item x="50"/>
        <item x="56"/>
        <item x="45"/>
        <item x="51"/>
        <item x="2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1">
    <field x="5"/>
  </rowFields>
  <rowItems count="6">
    <i>
      <x v="7"/>
    </i>
    <i>
      <x v="37"/>
    </i>
    <i>
      <x v="76"/>
    </i>
    <i>
      <x v="94"/>
    </i>
    <i>
      <x v="96"/>
    </i>
    <i t="grand">
      <x/>
    </i>
  </rowItems>
  <colItems count="1">
    <i/>
  </colItems>
  <dataFields count="1">
    <dataField name="Sum of Amount" fld="6"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5" iMeasureFld="0">
      <autoFilter ref="A1">
        <filterColumn colId="0">
          <top10 top="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9C06A-7A82-4C6A-93DC-43020CD80A20}" name="PivotTable4"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36:N42" firstHeaderRow="1" firstDataRow="1" firstDataCol="1"/>
  <pivotFields count="10">
    <pivotField showAll="0"/>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measureFilter="1"/>
    <pivotField showAll="0"/>
    <pivotField showAll="0"/>
    <pivotField axis="axisRow" showAll="0" measureFilter="1">
      <items count="101">
        <item x="89"/>
        <item x="86"/>
        <item x="94"/>
        <item x="62"/>
        <item x="28"/>
        <item x="57"/>
        <item x="13"/>
        <item x="48"/>
        <item x="52"/>
        <item x="66"/>
        <item x="65"/>
        <item x="95"/>
        <item x="61"/>
        <item x="43"/>
        <item x="44"/>
        <item x="12"/>
        <item x="41"/>
        <item x="15"/>
        <item x="79"/>
        <item x="71"/>
        <item x="73"/>
        <item x="88"/>
        <item x="98"/>
        <item x="27"/>
        <item x="59"/>
        <item x="23"/>
        <item x="84"/>
        <item x="67"/>
        <item x="70"/>
        <item x="92"/>
        <item x="64"/>
        <item x="20"/>
        <item x="5"/>
        <item x="11"/>
        <item x="26"/>
        <item x="1"/>
        <item x="40"/>
        <item x="46"/>
        <item x="2"/>
        <item x="3"/>
        <item x="55"/>
        <item x="49"/>
        <item x="25"/>
        <item x="10"/>
        <item x="6"/>
        <item x="85"/>
        <item x="91"/>
        <item x="8"/>
        <item x="4"/>
        <item x="58"/>
        <item x="17"/>
        <item x="21"/>
        <item x="47"/>
        <item x="14"/>
        <item x="22"/>
        <item x="38"/>
        <item x="34"/>
        <item x="31"/>
        <item x="32"/>
        <item x="33"/>
        <item x="39"/>
        <item x="35"/>
        <item x="36"/>
        <item x="37"/>
        <item x="30"/>
        <item x="77"/>
        <item x="90"/>
        <item x="97"/>
        <item x="83"/>
        <item x="75"/>
        <item x="69"/>
        <item x="96"/>
        <item x="99"/>
        <item x="68"/>
        <item x="42"/>
        <item x="9"/>
        <item x="53"/>
        <item x="19"/>
        <item x="16"/>
        <item x="24"/>
        <item x="7"/>
        <item x="0"/>
        <item x="18"/>
        <item x="60"/>
        <item x="76"/>
        <item x="78"/>
        <item x="82"/>
        <item x="80"/>
        <item x="87"/>
        <item x="93"/>
        <item x="63"/>
        <item x="72"/>
        <item x="81"/>
        <item x="74"/>
        <item x="54"/>
        <item x="50"/>
        <item x="56"/>
        <item x="45"/>
        <item x="51"/>
        <item x="29"/>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1">
    <field x="5"/>
  </rowFields>
  <rowItems count="6">
    <i>
      <x v="5"/>
    </i>
    <i>
      <x v="24"/>
    </i>
    <i>
      <x v="52"/>
    </i>
    <i>
      <x v="97"/>
    </i>
    <i>
      <x v="98"/>
    </i>
    <i t="grand">
      <x/>
    </i>
  </rowItems>
  <colItems count="1">
    <i/>
  </colItems>
  <dataFields count="1">
    <dataField name="Sum of Amount" fld="6" baseField="0" baseItem="0" numFmtId="164"/>
  </dataFields>
  <formats count="2">
    <format dxfId="8">
      <pivotArea outline="0" collapsedLevelsAreSubtotals="1" fieldPosition="0"/>
    </format>
    <format dxfId="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4"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5B4FEC-FDD0-441C-B358-56FEF47A1D2E}" name="PivotTable3"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28:N32" firstHeaderRow="1" firstDataRow="1" firstDataCol="1"/>
  <pivotFields count="10">
    <pivotField showAll="0"/>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showAll="0" measureFilter="1"/>
    <pivotField showAll="0"/>
    <pivotField showAll="0"/>
    <pivotField showAll="0"/>
    <pivotField dataFiel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1">
    <field x="7"/>
  </rowFields>
  <rowItems count="4">
    <i>
      <x v="1"/>
    </i>
    <i>
      <x v="2"/>
    </i>
    <i>
      <x/>
    </i>
    <i t="grand">
      <x/>
    </i>
  </rowItems>
  <colItems count="1">
    <i/>
  </colItems>
  <dataFields count="1">
    <dataField name="Sum of Amount" fld="6" baseField="0" baseItem="0" numFmtId="164"/>
  </dataFields>
  <formats count="2">
    <format dxfId="10">
      <pivotArea outline="0" collapsedLevelsAreSubtotals="1" fieldPosition="0"/>
    </format>
    <format dxfId="9">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7" count="1" selected="0">
            <x v="0"/>
          </reference>
        </references>
      </pivotArea>
    </chartFormat>
    <chartFormat chart="20" format="7">
      <pivotArea type="data" outline="0" fieldPosition="0">
        <references count="2">
          <reference field="4294967294" count="1" selected="0">
            <x v="0"/>
          </reference>
          <reference field="7" count="1" selected="0">
            <x v="1"/>
          </reference>
        </references>
      </pivotArea>
    </chartFormat>
    <chartFormat chart="20"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6F470-54FA-493C-AAE6-C89102F8446C}" name="PivotTable2" cacheId="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18:N24" firstHeaderRow="1" firstDataRow="1" firstDataCol="1"/>
  <pivotFields count="10">
    <pivotField showAll="0"/>
    <pivotField numFmtId="14" showAll="0">
      <items count="1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t="default"/>
      </items>
    </pivotField>
    <pivotField axis="axisRow" showAll="0" measureFilter="1">
      <items count="161">
        <item x="87"/>
        <item x="80"/>
        <item x="53"/>
        <item x="44"/>
        <item x="72"/>
        <item x="109"/>
        <item x="25"/>
        <item x="32"/>
        <item x="71"/>
        <item x="146"/>
        <item x="75"/>
        <item x="110"/>
        <item x="51"/>
        <item x="93"/>
        <item x="15"/>
        <item x="88"/>
        <item x="131"/>
        <item x="78"/>
        <item x="127"/>
        <item x="105"/>
        <item x="46"/>
        <item x="153"/>
        <item x="33"/>
        <item x="148"/>
        <item x="85"/>
        <item x="111"/>
        <item x="24"/>
        <item x="136"/>
        <item x="8"/>
        <item x="48"/>
        <item x="77"/>
        <item x="149"/>
        <item x="67"/>
        <item x="99"/>
        <item x="9"/>
        <item x="138"/>
        <item x="103"/>
        <item x="23"/>
        <item x="92"/>
        <item x="157"/>
        <item x="52"/>
        <item x="121"/>
        <item x="147"/>
        <item x="70"/>
        <item x="57"/>
        <item x="143"/>
        <item x="20"/>
        <item x="152"/>
        <item x="54"/>
        <item x="129"/>
        <item x="62"/>
        <item x="1"/>
        <item x="116"/>
        <item x="112"/>
        <item x="21"/>
        <item x="18"/>
        <item x="104"/>
        <item x="128"/>
        <item x="4"/>
        <item x="34"/>
        <item x="86"/>
        <item x="63"/>
        <item x="16"/>
        <item x="91"/>
        <item x="90"/>
        <item x="94"/>
        <item x="27"/>
        <item x="118"/>
        <item x="158"/>
        <item x="69"/>
        <item x="73"/>
        <item x="29"/>
        <item x="89"/>
        <item x="101"/>
        <item x="5"/>
        <item x="43"/>
        <item x="58"/>
        <item x="31"/>
        <item x="68"/>
        <item x="40"/>
        <item x="50"/>
        <item x="7"/>
        <item x="35"/>
        <item x="151"/>
        <item x="95"/>
        <item x="79"/>
        <item x="137"/>
        <item x="135"/>
        <item x="60"/>
        <item x="30"/>
        <item x="10"/>
        <item x="124"/>
        <item x="56"/>
        <item x="66"/>
        <item x="155"/>
        <item x="59"/>
        <item x="150"/>
        <item x="125"/>
        <item x="123"/>
        <item x="133"/>
        <item x="115"/>
        <item x="100"/>
        <item x="47"/>
        <item x="113"/>
        <item x="82"/>
        <item x="140"/>
        <item x="84"/>
        <item x="11"/>
        <item x="117"/>
        <item x="120"/>
        <item x="132"/>
        <item x="130"/>
        <item x="76"/>
        <item x="13"/>
        <item x="22"/>
        <item x="39"/>
        <item x="144"/>
        <item x="106"/>
        <item x="65"/>
        <item x="154"/>
        <item x="156"/>
        <item x="142"/>
        <item x="26"/>
        <item x="17"/>
        <item x="14"/>
        <item x="108"/>
        <item x="55"/>
        <item x="36"/>
        <item x="107"/>
        <item x="83"/>
        <item x="97"/>
        <item x="49"/>
        <item x="64"/>
        <item x="0"/>
        <item x="102"/>
        <item x="119"/>
        <item x="134"/>
        <item x="28"/>
        <item x="74"/>
        <item x="139"/>
        <item x="12"/>
        <item x="141"/>
        <item x="145"/>
        <item x="41"/>
        <item x="122"/>
        <item x="159"/>
        <item x="6"/>
        <item x="19"/>
        <item x="81"/>
        <item x="61"/>
        <item x="45"/>
        <item x="126"/>
        <item x="114"/>
        <item x="3"/>
        <item x="98"/>
        <item x="96"/>
        <item x="38"/>
        <item x="37"/>
        <item x="42"/>
        <item x="2"/>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1">
    <field x="2"/>
  </rowFields>
  <rowItems count="6">
    <i>
      <x v="39"/>
    </i>
    <i>
      <x v="42"/>
    </i>
    <i>
      <x v="83"/>
    </i>
    <i>
      <x v="142"/>
    </i>
    <i>
      <x v="145"/>
    </i>
    <i t="grand">
      <x/>
    </i>
  </rowItems>
  <colItems count="1">
    <i/>
  </colItems>
  <dataFields count="1">
    <dataField name="Sum of Amount" fld="6" baseField="0" baseItem="0" numFmtId="164"/>
  </dataFields>
  <formats count="2">
    <format dxfId="12">
      <pivotArea outline="0" collapsedLevelsAreSubtotals="1" fieldPosition="0"/>
    </format>
    <format dxfId="1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74"/>
          </reference>
        </references>
      </pivotArea>
    </chartFormat>
    <chartFormat chart="11" format="4">
      <pivotArea type="data" outline="0" fieldPosition="0">
        <references count="2">
          <reference field="4294967294" count="1" selected="0">
            <x v="0"/>
          </reference>
          <reference field="2" count="1" selected="0">
            <x v="46"/>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8BA8489-B49E-4635-9C44-FF95EB56947F}" sourceName="Months (Date)">
  <pivotTables>
    <pivotTable tabId="7" name="PivotTable2"/>
    <pivotTable tabId="7" name="PivotTable3"/>
    <pivotTable tabId="7" name="PivotTable4"/>
    <pivotTable tabId="7" name="PivotTable5"/>
  </pivotTables>
  <data>
    <tabular pivotCacheId="361089153">
      <items count="14">
        <i x="7"/>
        <i x="8"/>
        <i x="9"/>
        <i x="10"/>
        <i x="11"/>
        <i x="12" s="1"/>
        <i x="1" nd="1"/>
        <i x="2" nd="1"/>
        <i x="3" nd="1"/>
        <i x="4" nd="1"/>
        <i x="5" nd="1"/>
        <i x="6"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D2F623FE-6FB9-44E7-9F42-BD8C06C087C4}" cache="Slicer_Months__Date" caption="Months (Date)" columnCount="6" showCaption="0" style="Slicer Style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A92CAE-4009-4693-88E2-A885F713C403}" name="Table5" displayName="Table5" ref="A1:G401" totalsRowShown="0" headerRowDxfId="41" dataDxfId="40">
  <autoFilter ref="A1:G401" xr:uid="{79A92CAE-4009-4693-88E2-A885F713C403}"/>
  <tableColumns count="7">
    <tableColumn id="1" xr3:uid="{154BCFAE-F054-4BB9-837A-502411AAA301}" name="Client ID" dataDxfId="39"/>
    <tableColumn id="2" xr3:uid="{DB02F1CE-5301-48FF-A43A-058E9BB63334}" name="Client Name" dataDxfId="38"/>
    <tableColumn id="3" xr3:uid="{93656EA6-3167-4F00-B3B8-7E90912C4205}" name="Contact Person" dataDxfId="37"/>
    <tableColumn id="4" xr3:uid="{E6A7B3B8-AEDA-46BB-B790-1E245A41FD9E}" name="Phone" dataDxfId="36"/>
    <tableColumn id="5" xr3:uid="{572CDF51-B7EC-4D08-8892-2489897B1504}" name="Email" dataDxfId="35"/>
    <tableColumn id="6" xr3:uid="{8D330198-6935-495C-8403-F2ECEB45A836}" name="Address" dataDxfId="34"/>
    <tableColumn id="7" xr3:uid="{22033996-C011-4ABA-8C8C-5ABA0B6CB40A}" name="GST Number"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CEC3D5-7259-4450-8675-21961016C04E}" name="Table6" displayName="Table6" ref="A1:F101" totalsRowShown="0" headerRowDxfId="32" dataDxfId="31">
  <autoFilter ref="A1:F101" xr:uid="{BCCEC3D5-7259-4450-8675-21961016C04E}"/>
  <tableColumns count="6">
    <tableColumn id="1" xr3:uid="{5B41ABCB-C448-4407-A6CE-6504B8F524D4}" name="Service ID" dataDxfId="30"/>
    <tableColumn id="6" xr3:uid="{4078E80B-D357-400C-AB2F-51A532177DEE}" name="Client ID" dataDxfId="29"/>
    <tableColumn id="2" xr3:uid="{C5D0A6D9-52A1-4813-8B4F-E8EB2755B40D}" name="Service Name" dataDxfId="28"/>
    <tableColumn id="3" xr3:uid="{C8EC1B14-D81C-4834-A27C-5513CFF201C5}" name="Category" dataDxfId="27"/>
    <tableColumn id="4" xr3:uid="{1A6531CA-B7C3-4EBC-AA0E-0965DE4F4CBE}" name="Unit Price" dataDxfId="26"/>
    <tableColumn id="5" xr3:uid="{D60D5BDA-9705-4DBD-B945-D70F76945C67}" name="Unit"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5A998E4-CA84-4EDE-AFC2-A0096E20265F}" name="tblInvoices" displayName="tblInvoices" ref="B17:I28" totalsRowShown="0" headerRowDxfId="24" headerRowBorderDxfId="23" tableBorderDxfId="22" totalsRowBorderDxfId="21">
  <autoFilter ref="B17:I28" xr:uid="{F5A998E4-CA84-4EDE-AFC2-A0096E20265F}"/>
  <tableColumns count="8">
    <tableColumn id="1" xr3:uid="{AAC783ED-D314-42F0-83F5-9B7B16ABEA26}" name="Sr" dataDxfId="20"/>
    <tableColumn id="2" xr3:uid="{CEFF23D1-0DFC-41A2-AE13-14420DD9B807}" name="Description" dataDxfId="19"/>
    <tableColumn id="3" xr3:uid="{A80DEB9B-45D7-488E-85CB-E7026DE7232A}" name="Qty" dataDxfId="18"/>
    <tableColumn id="4" xr3:uid="{A9C28A22-A7FD-4111-BEA9-3870063D1B7E}" name="Unit Price" dataDxfId="17" dataCellStyle="Currency"/>
    <tableColumn id="5" xr3:uid="{A4733449-866F-46D2-8FDE-80CCEE6529B0}" name="Tax %" dataDxfId="16" dataCellStyle="Percent"/>
    <tableColumn id="6" xr3:uid="{53EB86D2-35CF-42DA-B2FF-70F0D349B712}" name="Tax" dataDxfId="15"/>
    <tableColumn id="7" xr3:uid="{DC6DE466-A638-48DB-B7F1-20B490101846}" name="Total" dataDxfId="14"/>
    <tableColumn id="8" xr3:uid="{20275B54-7AC6-438B-92C4-F2A4DA49378D}" name="Notes"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DBA18C-723E-4FAF-A963-1DD358D57AE4}" name="Table2" displayName="Table2" ref="A1:H161" totalsRowShown="0" headerRowDxfId="4" headerRowBorderDxfId="3" tableBorderDxfId="2">
  <autoFilter ref="A1:H161" xr:uid="{91DBA18C-723E-4FAF-A963-1DD358D57AE4}"/>
  <tableColumns count="8">
    <tableColumn id="1" xr3:uid="{CFF28865-7B54-49C9-B0FC-1868D705F50D}" name="Client ID">
      <calculatedColumnFormula>Table5[[#This Row],[Client ID]]</calculatedColumnFormula>
    </tableColumn>
    <tableColumn id="2" xr3:uid="{10C6D382-25F4-4BCD-95AC-0DB331C665B8}" name="Date" dataDxfId="1"/>
    <tableColumn id="3" xr3:uid="{BBAAF1DF-9DB4-4AAF-8110-8FC6D56E4E42}" name="Client Name">
      <calculatedColumnFormula>client!B2</calculatedColumnFormula>
    </tableColumn>
    <tableColumn id="4" xr3:uid="{C4210F85-39A0-414E-B059-B4E90DB49581}" name="Contact Person">
      <calculatedColumnFormula>Table5[[#This Row],[Contact Person]]</calculatedColumnFormula>
    </tableColumn>
    <tableColumn id="5" xr3:uid="{3437FC23-64DE-4343-BC9B-67D4AA566E1D}" name="Phone">
      <calculatedColumnFormula>Table5[[#This Row],[Phone]]</calculatedColumnFormula>
    </tableColumn>
    <tableColumn id="6" xr3:uid="{982ABAC6-8687-4B36-B99A-07CC20E7098D}" name="Service" dataDxfId="0"/>
    <tableColumn id="7" xr3:uid="{9CF7B6F6-BFC0-4B4A-BC7B-237B5F8EAE1C}" name="Amount">
      <calculatedColumnFormula>_xlfn.XLOOKUP(F2,Table6[Service Name],Table6[Unit Price])</calculatedColumnFormula>
    </tableColumn>
    <tableColumn id="8" xr3:uid="{C95EA70F-D475-4B90-9016-3B663001C357}"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shivamthakur3200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4.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3E46-8539-44D9-9E5E-1BB7C53C5445}">
  <dimension ref="A1:L17"/>
  <sheetViews>
    <sheetView showGridLines="0" showRowColHeaders="0" zoomScale="152" workbookViewId="0">
      <selection activeCell="C16" sqref="C16"/>
    </sheetView>
  </sheetViews>
  <sheetFormatPr defaultRowHeight="15" x14ac:dyDescent="0.25"/>
  <cols>
    <col min="1" max="1" width="21.42578125" customWidth="1"/>
    <col min="2" max="2" width="35.7109375" customWidth="1"/>
    <col min="12" max="12" width="15.7109375" bestFit="1" customWidth="1"/>
  </cols>
  <sheetData>
    <row r="1" spans="1:12" ht="26.25" x14ac:dyDescent="0.25">
      <c r="A1" s="49" t="s">
        <v>28</v>
      </c>
      <c r="B1" s="49"/>
    </row>
    <row r="3" spans="1:12" x14ac:dyDescent="0.25">
      <c r="A3" s="4" t="s">
        <v>0</v>
      </c>
      <c r="B3" s="43" t="s">
        <v>14</v>
      </c>
    </row>
    <row r="4" spans="1:12" x14ac:dyDescent="0.25">
      <c r="A4" s="4" t="s">
        <v>1</v>
      </c>
      <c r="B4" s="43" t="s">
        <v>16</v>
      </c>
    </row>
    <row r="5" spans="1:12" x14ac:dyDescent="0.25">
      <c r="A5" s="4" t="s">
        <v>2</v>
      </c>
      <c r="B5" s="44">
        <v>9857050777</v>
      </c>
    </row>
    <row r="6" spans="1:12" x14ac:dyDescent="0.25">
      <c r="A6" s="4" t="s">
        <v>3</v>
      </c>
      <c r="B6" s="45" t="s">
        <v>15</v>
      </c>
    </row>
    <row r="7" spans="1:12" x14ac:dyDescent="0.25">
      <c r="A7" s="4" t="s">
        <v>4</v>
      </c>
      <c r="B7" s="43"/>
    </row>
    <row r="8" spans="1:12" x14ac:dyDescent="0.25">
      <c r="A8" s="4" t="s">
        <v>5</v>
      </c>
      <c r="B8" s="43"/>
    </row>
    <row r="9" spans="1:12" x14ac:dyDescent="0.25">
      <c r="A9" s="4" t="s">
        <v>6</v>
      </c>
      <c r="B9" s="43" t="s">
        <v>53</v>
      </c>
    </row>
    <row r="10" spans="1:12" x14ac:dyDescent="0.25">
      <c r="A10" s="4" t="s">
        <v>7</v>
      </c>
      <c r="B10" s="43"/>
    </row>
    <row r="11" spans="1:12" x14ac:dyDescent="0.25">
      <c r="A11" s="4" t="s">
        <v>8</v>
      </c>
      <c r="B11" s="43"/>
      <c r="L11" s="3"/>
    </row>
    <row r="12" spans="1:12" x14ac:dyDescent="0.25">
      <c r="A12" s="4" t="s">
        <v>9</v>
      </c>
      <c r="B12" s="43"/>
    </row>
    <row r="13" spans="1:12" x14ac:dyDescent="0.25">
      <c r="A13" s="4" t="s">
        <v>10</v>
      </c>
      <c r="B13" s="43"/>
    </row>
    <row r="14" spans="1:12" x14ac:dyDescent="0.25">
      <c r="A14" s="4" t="s">
        <v>11</v>
      </c>
      <c r="B14" s="46">
        <v>0</v>
      </c>
    </row>
    <row r="15" spans="1:12" x14ac:dyDescent="0.25">
      <c r="A15" s="4" t="s">
        <v>12</v>
      </c>
      <c r="B15" s="47">
        <v>0.18</v>
      </c>
    </row>
    <row r="16" spans="1:12" x14ac:dyDescent="0.25">
      <c r="A16" s="4" t="s">
        <v>13</v>
      </c>
      <c r="B16" s="48" t="s">
        <v>17</v>
      </c>
    </row>
    <row r="17" spans="2:2" x14ac:dyDescent="0.25">
      <c r="B17" s="40"/>
    </row>
  </sheetData>
  <mergeCells count="1">
    <mergeCell ref="A1:B1"/>
  </mergeCells>
  <hyperlinks>
    <hyperlink ref="B6" r:id="rId1" xr:uid="{5D2BED12-0DEC-4479-9808-4E7AFBE6AD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C410-C38D-4330-901B-0217CA8B657F}">
  <dimension ref="A1:H500"/>
  <sheetViews>
    <sheetView showGridLines="0" showRowColHeaders="0" workbookViewId="0">
      <selection activeCell="A4" sqref="A4"/>
    </sheetView>
  </sheetViews>
  <sheetFormatPr defaultRowHeight="15" x14ac:dyDescent="0.25"/>
  <cols>
    <col min="1" max="1" width="14.7109375" customWidth="1"/>
    <col min="2" max="2" width="32.5703125" customWidth="1"/>
    <col min="3" max="3" width="20.28515625" customWidth="1"/>
    <col min="4" max="4" width="23.42578125" customWidth="1"/>
    <col min="5" max="5" width="20.5703125" customWidth="1"/>
    <col min="6" max="6" width="26.42578125" customWidth="1"/>
    <col min="7" max="7" width="17.7109375" customWidth="1"/>
  </cols>
  <sheetData>
    <row r="1" spans="1:8" x14ac:dyDescent="0.25">
      <c r="A1" s="15" t="s">
        <v>19</v>
      </c>
      <c r="B1" s="15" t="s">
        <v>18</v>
      </c>
      <c r="C1" s="15" t="s">
        <v>62</v>
      </c>
      <c r="D1" s="15" t="s">
        <v>2</v>
      </c>
      <c r="E1" s="15" t="s">
        <v>3</v>
      </c>
      <c r="F1" s="15" t="s">
        <v>6</v>
      </c>
      <c r="G1" s="15" t="s">
        <v>5</v>
      </c>
      <c r="H1" s="15"/>
    </row>
    <row r="2" spans="1:8" x14ac:dyDescent="0.25">
      <c r="A2" s="15" t="s">
        <v>63</v>
      </c>
      <c r="B2" s="15" t="s">
        <v>214</v>
      </c>
      <c r="C2" s="15" t="s">
        <v>643</v>
      </c>
      <c r="D2" s="15">
        <v>9177777868</v>
      </c>
      <c r="E2" s="15" t="s">
        <v>644</v>
      </c>
      <c r="F2" s="15" t="s">
        <v>645</v>
      </c>
      <c r="G2" s="15" t="s">
        <v>646</v>
      </c>
      <c r="H2" s="15"/>
    </row>
    <row r="3" spans="1:8" x14ac:dyDescent="0.25">
      <c r="A3" s="15" t="s">
        <v>64</v>
      </c>
      <c r="B3" s="15" t="s">
        <v>647</v>
      </c>
      <c r="C3" s="15" t="s">
        <v>104</v>
      </c>
      <c r="D3" s="15">
        <v>9175006691</v>
      </c>
      <c r="E3" s="15" t="s">
        <v>648</v>
      </c>
      <c r="F3" s="15" t="s">
        <v>649</v>
      </c>
      <c r="G3" s="15" t="s">
        <v>650</v>
      </c>
      <c r="H3" s="15"/>
    </row>
    <row r="4" spans="1:8" x14ac:dyDescent="0.25">
      <c r="A4" s="15" t="s">
        <v>65</v>
      </c>
      <c r="B4" s="15" t="s">
        <v>651</v>
      </c>
      <c r="C4" s="15" t="s">
        <v>445</v>
      </c>
      <c r="D4" s="15">
        <v>9525932421</v>
      </c>
      <c r="E4" s="15" t="s">
        <v>652</v>
      </c>
      <c r="F4" s="15" t="s">
        <v>653</v>
      </c>
      <c r="G4" s="15" t="s">
        <v>654</v>
      </c>
      <c r="H4" s="15"/>
    </row>
    <row r="5" spans="1:8" x14ac:dyDescent="0.25">
      <c r="A5" s="15" t="s">
        <v>67</v>
      </c>
      <c r="B5" s="15" t="s">
        <v>655</v>
      </c>
      <c r="C5" s="15" t="s">
        <v>656</v>
      </c>
      <c r="D5" s="15">
        <v>9431229838</v>
      </c>
      <c r="E5" s="15" t="s">
        <v>657</v>
      </c>
      <c r="F5" s="15" t="s">
        <v>658</v>
      </c>
      <c r="G5" s="15" t="s">
        <v>659</v>
      </c>
      <c r="H5" s="15"/>
    </row>
    <row r="6" spans="1:8" x14ac:dyDescent="0.25">
      <c r="A6" s="15" t="s">
        <v>69</v>
      </c>
      <c r="B6" s="15" t="s">
        <v>660</v>
      </c>
      <c r="C6" s="15" t="s">
        <v>661</v>
      </c>
      <c r="D6" s="15">
        <v>9167419149</v>
      </c>
      <c r="E6" s="15" t="s">
        <v>662</v>
      </c>
      <c r="F6" s="15" t="s">
        <v>176</v>
      </c>
      <c r="G6" s="15" t="s">
        <v>663</v>
      </c>
      <c r="H6" s="15"/>
    </row>
    <row r="7" spans="1:8" x14ac:dyDescent="0.25">
      <c r="A7" s="15" t="s">
        <v>70</v>
      </c>
      <c r="B7" s="15" t="s">
        <v>664</v>
      </c>
      <c r="C7" s="15" t="s">
        <v>562</v>
      </c>
      <c r="D7" s="15">
        <v>9586603020</v>
      </c>
      <c r="E7" s="15" t="s">
        <v>665</v>
      </c>
      <c r="F7" s="15" t="s">
        <v>461</v>
      </c>
      <c r="G7" s="15" t="s">
        <v>666</v>
      </c>
      <c r="H7" s="15"/>
    </row>
    <row r="8" spans="1:8" x14ac:dyDescent="0.25">
      <c r="A8" s="15" t="s">
        <v>72</v>
      </c>
      <c r="B8" s="15" t="s">
        <v>667</v>
      </c>
      <c r="C8" s="15" t="s">
        <v>96</v>
      </c>
      <c r="D8" s="15">
        <v>9468804211</v>
      </c>
      <c r="E8" s="15" t="s">
        <v>668</v>
      </c>
      <c r="F8" s="15" t="s">
        <v>669</v>
      </c>
      <c r="G8" s="15" t="s">
        <v>670</v>
      </c>
      <c r="H8" s="15"/>
    </row>
    <row r="9" spans="1:8" x14ac:dyDescent="0.25">
      <c r="A9" s="15" t="s">
        <v>74</v>
      </c>
      <c r="B9" s="15" t="s">
        <v>671</v>
      </c>
      <c r="C9" s="15" t="s">
        <v>341</v>
      </c>
      <c r="D9" s="15">
        <v>9625020128</v>
      </c>
      <c r="E9" s="15" t="s">
        <v>672</v>
      </c>
      <c r="F9" s="15" t="s">
        <v>673</v>
      </c>
      <c r="G9" s="15" t="s">
        <v>674</v>
      </c>
      <c r="H9" s="15"/>
    </row>
    <row r="10" spans="1:8" x14ac:dyDescent="0.25">
      <c r="A10" s="15" t="s">
        <v>77</v>
      </c>
      <c r="B10" s="15" t="s">
        <v>675</v>
      </c>
      <c r="C10" s="15" t="s">
        <v>197</v>
      </c>
      <c r="D10" s="15">
        <v>9589846746</v>
      </c>
      <c r="E10" s="15" t="s">
        <v>676</v>
      </c>
      <c r="F10" s="15" t="s">
        <v>677</v>
      </c>
      <c r="G10" s="15" t="s">
        <v>678</v>
      </c>
      <c r="H10" s="15"/>
    </row>
    <row r="11" spans="1:8" x14ac:dyDescent="0.25">
      <c r="A11" s="15" t="s">
        <v>79</v>
      </c>
      <c r="B11" s="15" t="s">
        <v>679</v>
      </c>
      <c r="C11" s="15" t="s">
        <v>680</v>
      </c>
      <c r="D11" s="15">
        <v>9831472844</v>
      </c>
      <c r="E11" s="15" t="s">
        <v>681</v>
      </c>
      <c r="F11" s="15" t="s">
        <v>682</v>
      </c>
      <c r="G11" s="15" t="s">
        <v>683</v>
      </c>
      <c r="H11" s="15"/>
    </row>
    <row r="12" spans="1:8" x14ac:dyDescent="0.25">
      <c r="A12" s="15" t="s">
        <v>81</v>
      </c>
      <c r="B12" s="15" t="s">
        <v>684</v>
      </c>
      <c r="C12" s="15" t="s">
        <v>294</v>
      </c>
      <c r="D12" s="15">
        <v>9630098818</v>
      </c>
      <c r="E12" s="15" t="s">
        <v>685</v>
      </c>
      <c r="F12" s="15" t="s">
        <v>686</v>
      </c>
      <c r="G12" s="15" t="s">
        <v>687</v>
      </c>
      <c r="H12" s="15"/>
    </row>
    <row r="13" spans="1:8" x14ac:dyDescent="0.25">
      <c r="A13" s="15" t="s">
        <v>83</v>
      </c>
      <c r="B13" s="15" t="s">
        <v>688</v>
      </c>
      <c r="C13" s="15" t="s">
        <v>209</v>
      </c>
      <c r="D13" s="15">
        <v>9582311296</v>
      </c>
      <c r="E13" s="15" t="s">
        <v>689</v>
      </c>
      <c r="F13" s="15" t="s">
        <v>690</v>
      </c>
      <c r="G13" s="15" t="s">
        <v>691</v>
      </c>
      <c r="H13" s="15"/>
    </row>
    <row r="14" spans="1:8" x14ac:dyDescent="0.25">
      <c r="A14" s="15" t="s">
        <v>86</v>
      </c>
      <c r="B14" s="15" t="s">
        <v>692</v>
      </c>
      <c r="C14" s="15" t="s">
        <v>449</v>
      </c>
      <c r="D14" s="15">
        <v>9508495730</v>
      </c>
      <c r="E14" s="15" t="s">
        <v>693</v>
      </c>
      <c r="F14" s="15" t="s">
        <v>694</v>
      </c>
      <c r="G14" s="15" t="s">
        <v>695</v>
      </c>
      <c r="H14" s="15"/>
    </row>
    <row r="15" spans="1:8" x14ac:dyDescent="0.25">
      <c r="A15" s="15" t="s">
        <v>87</v>
      </c>
      <c r="B15" s="15" t="s">
        <v>696</v>
      </c>
      <c r="C15" s="15" t="s">
        <v>697</v>
      </c>
      <c r="D15" s="15">
        <v>9992379915</v>
      </c>
      <c r="E15" s="15" t="s">
        <v>698</v>
      </c>
      <c r="F15" s="15" t="s">
        <v>699</v>
      </c>
      <c r="G15" s="15" t="s">
        <v>700</v>
      </c>
      <c r="H15" s="15"/>
    </row>
    <row r="16" spans="1:8" x14ac:dyDescent="0.25">
      <c r="A16" s="15" t="s">
        <v>88</v>
      </c>
      <c r="B16" s="15" t="s">
        <v>701</v>
      </c>
      <c r="C16" s="15" t="s">
        <v>226</v>
      </c>
      <c r="D16" s="15">
        <v>9708104260</v>
      </c>
      <c r="E16" s="15" t="s">
        <v>702</v>
      </c>
      <c r="F16" s="15" t="s">
        <v>703</v>
      </c>
      <c r="G16" s="15" t="s">
        <v>704</v>
      </c>
      <c r="H16" s="15"/>
    </row>
    <row r="17" spans="1:8" x14ac:dyDescent="0.25">
      <c r="A17" s="15" t="s">
        <v>89</v>
      </c>
      <c r="B17" s="15" t="s">
        <v>705</v>
      </c>
      <c r="C17" s="15" t="s">
        <v>435</v>
      </c>
      <c r="D17" s="15">
        <v>9528400257</v>
      </c>
      <c r="E17" s="15" t="s">
        <v>706</v>
      </c>
      <c r="F17" s="15" t="s">
        <v>633</v>
      </c>
      <c r="G17" s="15" t="s">
        <v>707</v>
      </c>
      <c r="H17" s="15"/>
    </row>
    <row r="18" spans="1:8" x14ac:dyDescent="0.25">
      <c r="A18" s="15" t="s">
        <v>91</v>
      </c>
      <c r="B18" s="15" t="s">
        <v>708</v>
      </c>
      <c r="C18" s="15" t="s">
        <v>709</v>
      </c>
      <c r="D18" s="15">
        <v>9218034622</v>
      </c>
      <c r="E18" s="15" t="s">
        <v>710</v>
      </c>
      <c r="F18" s="15" t="s">
        <v>711</v>
      </c>
      <c r="G18" s="15" t="s">
        <v>712</v>
      </c>
      <c r="H18" s="15"/>
    </row>
    <row r="19" spans="1:8" x14ac:dyDescent="0.25">
      <c r="A19" s="15" t="s">
        <v>92</v>
      </c>
      <c r="B19" s="15" t="s">
        <v>713</v>
      </c>
      <c r="C19" s="15" t="s">
        <v>226</v>
      </c>
      <c r="D19" s="15">
        <v>9127381374</v>
      </c>
      <c r="E19" s="15" t="s">
        <v>702</v>
      </c>
      <c r="F19" s="15" t="s">
        <v>714</v>
      </c>
      <c r="G19" s="15" t="s">
        <v>715</v>
      </c>
      <c r="H19" s="15"/>
    </row>
    <row r="20" spans="1:8" x14ac:dyDescent="0.25">
      <c r="A20" s="15" t="s">
        <v>94</v>
      </c>
      <c r="B20" s="15" t="s">
        <v>716</v>
      </c>
      <c r="C20" s="15" t="s">
        <v>200</v>
      </c>
      <c r="D20" s="15">
        <v>9223859888</v>
      </c>
      <c r="E20" s="15" t="s">
        <v>717</v>
      </c>
      <c r="F20" s="15" t="s">
        <v>718</v>
      </c>
      <c r="G20" s="15" t="s">
        <v>719</v>
      </c>
      <c r="H20" s="15"/>
    </row>
    <row r="21" spans="1:8" x14ac:dyDescent="0.25">
      <c r="A21" s="15" t="s">
        <v>95</v>
      </c>
      <c r="B21" s="15" t="s">
        <v>720</v>
      </c>
      <c r="C21" s="15" t="s">
        <v>721</v>
      </c>
      <c r="D21" s="15">
        <v>9894946073</v>
      </c>
      <c r="E21" s="15" t="s">
        <v>722</v>
      </c>
      <c r="F21" s="15" t="s">
        <v>723</v>
      </c>
      <c r="G21" s="15" t="s">
        <v>724</v>
      </c>
      <c r="H21" s="15"/>
    </row>
    <row r="22" spans="1:8" x14ac:dyDescent="0.25">
      <c r="A22" s="15" t="s">
        <v>98</v>
      </c>
      <c r="B22" s="15" t="s">
        <v>725</v>
      </c>
      <c r="C22" s="15" t="s">
        <v>275</v>
      </c>
      <c r="D22" s="15">
        <v>9683226946</v>
      </c>
      <c r="E22" s="15" t="s">
        <v>726</v>
      </c>
      <c r="F22" s="15" t="s">
        <v>727</v>
      </c>
      <c r="G22" s="15" t="s">
        <v>728</v>
      </c>
      <c r="H22" s="15"/>
    </row>
    <row r="23" spans="1:8" x14ac:dyDescent="0.25">
      <c r="A23" s="15" t="s">
        <v>100</v>
      </c>
      <c r="B23" s="15" t="s">
        <v>729</v>
      </c>
      <c r="C23" s="15" t="s">
        <v>73</v>
      </c>
      <c r="D23" s="15">
        <v>9928862021</v>
      </c>
      <c r="E23" s="15" t="s">
        <v>730</v>
      </c>
      <c r="F23" s="15" t="s">
        <v>731</v>
      </c>
      <c r="G23" s="15" t="s">
        <v>732</v>
      </c>
      <c r="H23" s="15"/>
    </row>
    <row r="24" spans="1:8" x14ac:dyDescent="0.25">
      <c r="A24" s="15" t="s">
        <v>101</v>
      </c>
      <c r="B24" s="15" t="s">
        <v>733</v>
      </c>
      <c r="C24" s="15" t="s">
        <v>258</v>
      </c>
      <c r="D24" s="15">
        <v>9530231565</v>
      </c>
      <c r="E24" s="15" t="s">
        <v>259</v>
      </c>
      <c r="F24" s="15" t="s">
        <v>734</v>
      </c>
      <c r="G24" s="15" t="s">
        <v>735</v>
      </c>
      <c r="H24" s="15"/>
    </row>
    <row r="25" spans="1:8" x14ac:dyDescent="0.25">
      <c r="A25" s="15" t="s">
        <v>103</v>
      </c>
      <c r="B25" s="15" t="s">
        <v>736</v>
      </c>
      <c r="C25" s="15" t="s">
        <v>737</v>
      </c>
      <c r="D25" s="15">
        <v>9400023374</v>
      </c>
      <c r="E25" s="15" t="s">
        <v>738</v>
      </c>
      <c r="F25" s="15" t="s">
        <v>739</v>
      </c>
      <c r="G25" s="15" t="s">
        <v>740</v>
      </c>
      <c r="H25" s="15"/>
    </row>
    <row r="26" spans="1:8" x14ac:dyDescent="0.25">
      <c r="A26" s="15" t="s">
        <v>106</v>
      </c>
      <c r="B26" s="15" t="s">
        <v>741</v>
      </c>
      <c r="C26" s="15" t="s">
        <v>742</v>
      </c>
      <c r="D26" s="15">
        <v>9343573855</v>
      </c>
      <c r="E26" s="15" t="s">
        <v>743</v>
      </c>
      <c r="F26" s="15" t="s">
        <v>744</v>
      </c>
      <c r="G26" s="15" t="s">
        <v>745</v>
      </c>
      <c r="H26" s="15"/>
    </row>
    <row r="27" spans="1:8" x14ac:dyDescent="0.25">
      <c r="A27" s="15" t="s">
        <v>108</v>
      </c>
      <c r="B27" s="15" t="s">
        <v>746</v>
      </c>
      <c r="C27" s="15" t="s">
        <v>747</v>
      </c>
      <c r="D27" s="15">
        <v>9996197331</v>
      </c>
      <c r="E27" s="15" t="s">
        <v>748</v>
      </c>
      <c r="F27" s="15" t="s">
        <v>749</v>
      </c>
      <c r="G27" s="15" t="s">
        <v>750</v>
      </c>
      <c r="H27" s="15"/>
    </row>
    <row r="28" spans="1:8" x14ac:dyDescent="0.25">
      <c r="A28" s="15" t="s">
        <v>109</v>
      </c>
      <c r="B28" s="15" t="s">
        <v>751</v>
      </c>
      <c r="C28" s="15" t="s">
        <v>84</v>
      </c>
      <c r="D28" s="15">
        <v>9875053406</v>
      </c>
      <c r="E28" s="15" t="s">
        <v>752</v>
      </c>
      <c r="F28" s="15" t="s">
        <v>753</v>
      </c>
      <c r="G28" s="15" t="s">
        <v>754</v>
      </c>
      <c r="H28" s="15"/>
    </row>
    <row r="29" spans="1:8" x14ac:dyDescent="0.25">
      <c r="A29" s="15" t="s">
        <v>111</v>
      </c>
      <c r="B29" s="15" t="s">
        <v>755</v>
      </c>
      <c r="C29" s="15" t="s">
        <v>324</v>
      </c>
      <c r="D29" s="15">
        <v>9599669927</v>
      </c>
      <c r="E29" s="15" t="s">
        <v>539</v>
      </c>
      <c r="F29" s="15" t="s">
        <v>756</v>
      </c>
      <c r="G29" s="15" t="s">
        <v>757</v>
      </c>
      <c r="H29" s="15"/>
    </row>
    <row r="30" spans="1:8" x14ac:dyDescent="0.25">
      <c r="A30" s="15" t="s">
        <v>113</v>
      </c>
      <c r="B30" s="15" t="s">
        <v>758</v>
      </c>
      <c r="C30" s="15" t="s">
        <v>759</v>
      </c>
      <c r="D30" s="15">
        <v>9958303050</v>
      </c>
      <c r="E30" s="15" t="s">
        <v>760</v>
      </c>
      <c r="F30" s="15" t="s">
        <v>761</v>
      </c>
      <c r="G30" s="15" t="s">
        <v>762</v>
      </c>
      <c r="H30" s="15"/>
    </row>
    <row r="31" spans="1:8" x14ac:dyDescent="0.25">
      <c r="A31" s="15" t="s">
        <v>115</v>
      </c>
      <c r="B31" s="15" t="s">
        <v>763</v>
      </c>
      <c r="C31" s="15" t="s">
        <v>415</v>
      </c>
      <c r="D31" s="15">
        <v>9328470563</v>
      </c>
      <c r="E31" s="15" t="s">
        <v>764</v>
      </c>
      <c r="F31" s="15" t="s">
        <v>765</v>
      </c>
      <c r="G31" s="15" t="s">
        <v>766</v>
      </c>
      <c r="H31" s="15"/>
    </row>
    <row r="32" spans="1:8" x14ac:dyDescent="0.25">
      <c r="A32" s="15" t="s">
        <v>116</v>
      </c>
      <c r="B32" s="15" t="s">
        <v>767</v>
      </c>
      <c r="C32" s="15" t="s">
        <v>768</v>
      </c>
      <c r="D32" s="15">
        <v>9894485254</v>
      </c>
      <c r="E32" s="15" t="s">
        <v>769</v>
      </c>
      <c r="F32" s="15" t="s">
        <v>770</v>
      </c>
      <c r="G32" s="15" t="s">
        <v>771</v>
      </c>
      <c r="H32" s="15"/>
    </row>
    <row r="33" spans="1:8" x14ac:dyDescent="0.25">
      <c r="A33" s="15" t="s">
        <v>117</v>
      </c>
      <c r="B33" s="15" t="s">
        <v>772</v>
      </c>
      <c r="C33" s="15" t="s">
        <v>773</v>
      </c>
      <c r="D33" s="15">
        <v>9648195686</v>
      </c>
      <c r="E33" s="15" t="s">
        <v>774</v>
      </c>
      <c r="F33" s="15" t="s">
        <v>775</v>
      </c>
      <c r="G33" s="15" t="s">
        <v>776</v>
      </c>
      <c r="H33" s="15"/>
    </row>
    <row r="34" spans="1:8" x14ac:dyDescent="0.25">
      <c r="A34" s="15" t="s">
        <v>120</v>
      </c>
      <c r="B34" s="15" t="s">
        <v>777</v>
      </c>
      <c r="C34" s="15" t="s">
        <v>421</v>
      </c>
      <c r="D34" s="15">
        <v>9608409165</v>
      </c>
      <c r="E34" s="15" t="s">
        <v>778</v>
      </c>
      <c r="F34" s="15" t="s">
        <v>779</v>
      </c>
      <c r="G34" s="15" t="s">
        <v>780</v>
      </c>
      <c r="H34" s="15"/>
    </row>
    <row r="35" spans="1:8" x14ac:dyDescent="0.25">
      <c r="A35" s="15" t="s">
        <v>122</v>
      </c>
      <c r="B35" s="15" t="s">
        <v>781</v>
      </c>
      <c r="C35" s="15" t="s">
        <v>782</v>
      </c>
      <c r="D35" s="15">
        <v>9933749898</v>
      </c>
      <c r="E35" s="15" t="s">
        <v>783</v>
      </c>
      <c r="F35" s="15" t="s">
        <v>784</v>
      </c>
      <c r="G35" s="15" t="s">
        <v>785</v>
      </c>
      <c r="H35" s="15"/>
    </row>
    <row r="36" spans="1:8" x14ac:dyDescent="0.25">
      <c r="A36" s="15" t="s">
        <v>123</v>
      </c>
      <c r="B36" s="15" t="s">
        <v>786</v>
      </c>
      <c r="C36" s="15" t="s">
        <v>787</v>
      </c>
      <c r="D36" s="15">
        <v>9585520203</v>
      </c>
      <c r="E36" s="15" t="s">
        <v>788</v>
      </c>
      <c r="F36" s="15" t="s">
        <v>789</v>
      </c>
      <c r="G36" s="15" t="s">
        <v>790</v>
      </c>
      <c r="H36" s="15"/>
    </row>
    <row r="37" spans="1:8" x14ac:dyDescent="0.25">
      <c r="A37" s="15" t="s">
        <v>124</v>
      </c>
      <c r="B37" s="15" t="s">
        <v>791</v>
      </c>
      <c r="C37" s="15" t="s">
        <v>577</v>
      </c>
      <c r="D37" s="15">
        <v>9397625709</v>
      </c>
      <c r="E37" s="15" t="s">
        <v>792</v>
      </c>
      <c r="F37" s="15" t="s">
        <v>793</v>
      </c>
      <c r="G37" s="15" t="s">
        <v>794</v>
      </c>
      <c r="H37" s="15"/>
    </row>
    <row r="38" spans="1:8" x14ac:dyDescent="0.25">
      <c r="A38" s="15" t="s">
        <v>125</v>
      </c>
      <c r="B38" s="15" t="s">
        <v>795</v>
      </c>
      <c r="C38" s="15" t="s">
        <v>112</v>
      </c>
      <c r="D38" s="15">
        <v>9700773368</v>
      </c>
      <c r="E38" s="15" t="s">
        <v>796</v>
      </c>
      <c r="F38" s="15" t="s">
        <v>797</v>
      </c>
      <c r="G38" s="15" t="s">
        <v>798</v>
      </c>
      <c r="H38" s="15"/>
    </row>
    <row r="39" spans="1:8" x14ac:dyDescent="0.25">
      <c r="A39" s="15" t="s">
        <v>127</v>
      </c>
      <c r="B39" s="15" t="s">
        <v>799</v>
      </c>
      <c r="C39" s="15" t="s">
        <v>68</v>
      </c>
      <c r="D39" s="15">
        <v>9820647678</v>
      </c>
      <c r="E39" s="15" t="s">
        <v>800</v>
      </c>
      <c r="F39" s="15" t="s">
        <v>801</v>
      </c>
      <c r="G39" s="15" t="s">
        <v>802</v>
      </c>
      <c r="H39" s="15"/>
    </row>
    <row r="40" spans="1:8" x14ac:dyDescent="0.25">
      <c r="A40" s="15" t="s">
        <v>129</v>
      </c>
      <c r="B40" s="15" t="s">
        <v>803</v>
      </c>
      <c r="C40" s="15" t="s">
        <v>804</v>
      </c>
      <c r="D40" s="15">
        <v>9808945035</v>
      </c>
      <c r="E40" s="15" t="s">
        <v>805</v>
      </c>
      <c r="F40" s="15" t="s">
        <v>806</v>
      </c>
      <c r="G40" s="15" t="s">
        <v>807</v>
      </c>
      <c r="H40" s="15"/>
    </row>
    <row r="41" spans="1:8" x14ac:dyDescent="0.25">
      <c r="A41" s="15" t="s">
        <v>130</v>
      </c>
      <c r="B41" s="15" t="s">
        <v>808</v>
      </c>
      <c r="C41" s="15" t="s">
        <v>809</v>
      </c>
      <c r="D41" s="15">
        <v>9623192278</v>
      </c>
      <c r="E41" s="15" t="s">
        <v>810</v>
      </c>
      <c r="F41" s="15" t="s">
        <v>811</v>
      </c>
      <c r="G41" s="15" t="s">
        <v>812</v>
      </c>
      <c r="H41" s="15"/>
    </row>
    <row r="42" spans="1:8" x14ac:dyDescent="0.25">
      <c r="A42" s="15" t="s">
        <v>131</v>
      </c>
      <c r="B42" s="15" t="s">
        <v>813</v>
      </c>
      <c r="C42" s="15" t="s">
        <v>814</v>
      </c>
      <c r="D42" s="15">
        <v>9482912221</v>
      </c>
      <c r="E42" s="15" t="s">
        <v>815</v>
      </c>
      <c r="F42" s="15" t="s">
        <v>816</v>
      </c>
      <c r="G42" s="15" t="s">
        <v>817</v>
      </c>
      <c r="H42" s="15"/>
    </row>
    <row r="43" spans="1:8" x14ac:dyDescent="0.25">
      <c r="A43" s="15" t="s">
        <v>133</v>
      </c>
      <c r="B43" s="15" t="s">
        <v>818</v>
      </c>
      <c r="C43" s="15" t="s">
        <v>819</v>
      </c>
      <c r="D43" s="15">
        <v>9512686830</v>
      </c>
      <c r="E43" s="15" t="s">
        <v>820</v>
      </c>
      <c r="F43" s="15" t="s">
        <v>821</v>
      </c>
      <c r="G43" s="15" t="s">
        <v>822</v>
      </c>
      <c r="H43" s="15"/>
    </row>
    <row r="44" spans="1:8" x14ac:dyDescent="0.25">
      <c r="A44" s="15" t="s">
        <v>134</v>
      </c>
      <c r="B44" s="15" t="s">
        <v>823</v>
      </c>
      <c r="C44" s="15" t="s">
        <v>486</v>
      </c>
      <c r="D44" s="15">
        <v>9391972375</v>
      </c>
      <c r="E44" s="15" t="s">
        <v>824</v>
      </c>
      <c r="F44" s="15" t="s">
        <v>825</v>
      </c>
      <c r="G44" s="15" t="s">
        <v>826</v>
      </c>
      <c r="H44" s="15"/>
    </row>
    <row r="45" spans="1:8" x14ac:dyDescent="0.25">
      <c r="A45" s="15" t="s">
        <v>136</v>
      </c>
      <c r="B45" s="15" t="s">
        <v>827</v>
      </c>
      <c r="C45" s="15" t="s">
        <v>372</v>
      </c>
      <c r="D45" s="15">
        <v>9676168666</v>
      </c>
      <c r="E45" s="15" t="s">
        <v>373</v>
      </c>
      <c r="F45" s="15" t="s">
        <v>828</v>
      </c>
      <c r="G45" s="15" t="s">
        <v>829</v>
      </c>
      <c r="H45" s="15"/>
    </row>
    <row r="46" spans="1:8" x14ac:dyDescent="0.25">
      <c r="A46" s="15" t="s">
        <v>138</v>
      </c>
      <c r="B46" s="15" t="s">
        <v>830</v>
      </c>
      <c r="C46" s="15" t="s">
        <v>831</v>
      </c>
      <c r="D46" s="15">
        <v>9177754046</v>
      </c>
      <c r="E46" s="15" t="s">
        <v>832</v>
      </c>
      <c r="F46" s="15" t="s">
        <v>833</v>
      </c>
      <c r="G46" s="15" t="s">
        <v>834</v>
      </c>
      <c r="H46" s="15"/>
    </row>
    <row r="47" spans="1:8" x14ac:dyDescent="0.25">
      <c r="A47" s="15" t="s">
        <v>140</v>
      </c>
      <c r="B47" s="15" t="s">
        <v>835</v>
      </c>
      <c r="C47" s="15" t="s">
        <v>486</v>
      </c>
      <c r="D47" s="15">
        <v>9230650282</v>
      </c>
      <c r="E47" s="15" t="s">
        <v>836</v>
      </c>
      <c r="F47" s="15" t="s">
        <v>837</v>
      </c>
      <c r="G47" s="15" t="s">
        <v>838</v>
      </c>
      <c r="H47" s="15"/>
    </row>
    <row r="48" spans="1:8" x14ac:dyDescent="0.25">
      <c r="A48" s="15" t="s">
        <v>141</v>
      </c>
      <c r="B48" s="15" t="s">
        <v>839</v>
      </c>
      <c r="C48" s="15" t="s">
        <v>840</v>
      </c>
      <c r="D48" s="15">
        <v>9217522609</v>
      </c>
      <c r="E48" s="15" t="s">
        <v>841</v>
      </c>
      <c r="F48" s="15" t="s">
        <v>842</v>
      </c>
      <c r="G48" s="15" t="s">
        <v>843</v>
      </c>
      <c r="H48" s="15"/>
    </row>
    <row r="49" spans="1:8" x14ac:dyDescent="0.25">
      <c r="A49" s="15" t="s">
        <v>143</v>
      </c>
      <c r="B49" s="15" t="s">
        <v>844</v>
      </c>
      <c r="C49" s="15" t="s">
        <v>397</v>
      </c>
      <c r="D49" s="15">
        <v>9321052888</v>
      </c>
      <c r="E49" s="15" t="s">
        <v>845</v>
      </c>
      <c r="F49" s="15" t="s">
        <v>846</v>
      </c>
      <c r="G49" s="15" t="s">
        <v>847</v>
      </c>
      <c r="H49" s="15"/>
    </row>
    <row r="50" spans="1:8" x14ac:dyDescent="0.25">
      <c r="A50" s="15" t="s">
        <v>145</v>
      </c>
      <c r="B50" s="15" t="s">
        <v>848</v>
      </c>
      <c r="C50" s="15" t="s">
        <v>128</v>
      </c>
      <c r="D50" s="15">
        <v>9119793247</v>
      </c>
      <c r="E50" s="15" t="s">
        <v>606</v>
      </c>
      <c r="F50" s="15" t="s">
        <v>849</v>
      </c>
      <c r="G50" s="15" t="s">
        <v>850</v>
      </c>
      <c r="H50" s="15"/>
    </row>
    <row r="51" spans="1:8" x14ac:dyDescent="0.25">
      <c r="A51" s="15" t="s">
        <v>146</v>
      </c>
      <c r="B51" s="15" t="s">
        <v>851</v>
      </c>
      <c r="C51" s="15" t="s">
        <v>409</v>
      </c>
      <c r="D51" s="15">
        <v>9979308807</v>
      </c>
      <c r="E51" s="15" t="s">
        <v>852</v>
      </c>
      <c r="F51" s="15" t="s">
        <v>853</v>
      </c>
      <c r="G51" s="15" t="s">
        <v>854</v>
      </c>
      <c r="H51" s="15"/>
    </row>
    <row r="52" spans="1:8" x14ac:dyDescent="0.25">
      <c r="A52" s="15" t="s">
        <v>147</v>
      </c>
      <c r="B52" s="15" t="s">
        <v>855</v>
      </c>
      <c r="C52" s="15" t="s">
        <v>856</v>
      </c>
      <c r="D52" s="15">
        <v>9313271411</v>
      </c>
      <c r="E52" s="15" t="s">
        <v>857</v>
      </c>
      <c r="F52" s="15" t="s">
        <v>858</v>
      </c>
      <c r="G52" s="15" t="s">
        <v>859</v>
      </c>
      <c r="H52" s="15"/>
    </row>
    <row r="53" spans="1:8" x14ac:dyDescent="0.25">
      <c r="A53" s="15" t="s">
        <v>149</v>
      </c>
      <c r="B53" s="15" t="s">
        <v>860</v>
      </c>
      <c r="C53" s="15" t="s">
        <v>481</v>
      </c>
      <c r="D53" s="15">
        <v>9895523712</v>
      </c>
      <c r="E53" s="15" t="s">
        <v>861</v>
      </c>
      <c r="F53" s="15" t="s">
        <v>862</v>
      </c>
      <c r="G53" s="15" t="s">
        <v>863</v>
      </c>
      <c r="H53" s="15"/>
    </row>
    <row r="54" spans="1:8" x14ac:dyDescent="0.25">
      <c r="A54" s="15" t="s">
        <v>150</v>
      </c>
      <c r="B54" s="15" t="s">
        <v>864</v>
      </c>
      <c r="C54" s="15" t="s">
        <v>865</v>
      </c>
      <c r="D54" s="15">
        <v>9843765415</v>
      </c>
      <c r="E54" s="15" t="s">
        <v>866</v>
      </c>
      <c r="F54" s="15" t="s">
        <v>867</v>
      </c>
      <c r="G54" s="15" t="s">
        <v>868</v>
      </c>
      <c r="H54" s="15"/>
    </row>
    <row r="55" spans="1:8" x14ac:dyDescent="0.25">
      <c r="A55" s="15" t="s">
        <v>151</v>
      </c>
      <c r="B55" s="15" t="s">
        <v>869</v>
      </c>
      <c r="C55" s="15" t="s">
        <v>139</v>
      </c>
      <c r="D55" s="15">
        <v>9453181781</v>
      </c>
      <c r="E55" s="15" t="s">
        <v>870</v>
      </c>
      <c r="F55" s="15" t="s">
        <v>871</v>
      </c>
      <c r="G55" s="15" t="s">
        <v>872</v>
      </c>
      <c r="H55" s="15"/>
    </row>
    <row r="56" spans="1:8" x14ac:dyDescent="0.25">
      <c r="A56" s="15" t="s">
        <v>155</v>
      </c>
      <c r="B56" s="15" t="s">
        <v>873</v>
      </c>
      <c r="C56" s="15" t="s">
        <v>575</v>
      </c>
      <c r="D56" s="15">
        <v>9509768451</v>
      </c>
      <c r="E56" s="15" t="s">
        <v>874</v>
      </c>
      <c r="F56" s="15" t="s">
        <v>875</v>
      </c>
      <c r="G56" s="15" t="s">
        <v>876</v>
      </c>
      <c r="H56" s="15"/>
    </row>
    <row r="57" spans="1:8" x14ac:dyDescent="0.25">
      <c r="A57" s="15" t="s">
        <v>157</v>
      </c>
      <c r="B57" s="15" t="s">
        <v>877</v>
      </c>
      <c r="C57" s="15" t="s">
        <v>486</v>
      </c>
      <c r="D57" s="15">
        <v>9977294617</v>
      </c>
      <c r="E57" s="15" t="s">
        <v>878</v>
      </c>
      <c r="F57" s="15" t="s">
        <v>85</v>
      </c>
      <c r="G57" s="15" t="s">
        <v>879</v>
      </c>
      <c r="H57" s="15"/>
    </row>
    <row r="58" spans="1:8" x14ac:dyDescent="0.25">
      <c r="A58" s="15" t="s">
        <v>159</v>
      </c>
      <c r="B58" s="15" t="s">
        <v>880</v>
      </c>
      <c r="C58" s="15" t="s">
        <v>881</v>
      </c>
      <c r="D58" s="15">
        <v>9190712619</v>
      </c>
      <c r="E58" s="15" t="s">
        <v>882</v>
      </c>
      <c r="F58" s="15" t="s">
        <v>883</v>
      </c>
      <c r="G58" s="15" t="s">
        <v>884</v>
      </c>
      <c r="H58" s="15"/>
    </row>
    <row r="59" spans="1:8" x14ac:dyDescent="0.25">
      <c r="A59" s="15" t="s">
        <v>160</v>
      </c>
      <c r="B59" s="15" t="s">
        <v>885</v>
      </c>
      <c r="C59" s="15" t="s">
        <v>886</v>
      </c>
      <c r="D59" s="15">
        <v>9260484838</v>
      </c>
      <c r="E59" s="15" t="s">
        <v>887</v>
      </c>
      <c r="F59" s="15" t="s">
        <v>888</v>
      </c>
      <c r="G59" s="15" t="s">
        <v>889</v>
      </c>
      <c r="H59" s="15"/>
    </row>
    <row r="60" spans="1:8" x14ac:dyDescent="0.25">
      <c r="A60" s="15" t="s">
        <v>162</v>
      </c>
      <c r="B60" s="15" t="s">
        <v>890</v>
      </c>
      <c r="C60" s="15" t="s">
        <v>891</v>
      </c>
      <c r="D60" s="15">
        <v>9662380097</v>
      </c>
      <c r="E60" s="15" t="s">
        <v>892</v>
      </c>
      <c r="F60" s="15" t="s">
        <v>893</v>
      </c>
      <c r="G60" s="15" t="s">
        <v>894</v>
      </c>
      <c r="H60" s="15"/>
    </row>
    <row r="61" spans="1:8" x14ac:dyDescent="0.25">
      <c r="A61" s="15" t="s">
        <v>163</v>
      </c>
      <c r="B61" s="15" t="s">
        <v>895</v>
      </c>
      <c r="C61" s="15" t="s">
        <v>896</v>
      </c>
      <c r="D61" s="15">
        <v>9212653207</v>
      </c>
      <c r="E61" s="15" t="s">
        <v>897</v>
      </c>
      <c r="F61" s="15" t="s">
        <v>898</v>
      </c>
      <c r="G61" s="15" t="s">
        <v>899</v>
      </c>
      <c r="H61" s="15"/>
    </row>
    <row r="62" spans="1:8" x14ac:dyDescent="0.25">
      <c r="A62" s="15" t="s">
        <v>165</v>
      </c>
      <c r="B62" s="15" t="s">
        <v>900</v>
      </c>
      <c r="C62" s="15" t="s">
        <v>211</v>
      </c>
      <c r="D62" s="15">
        <v>9103558733</v>
      </c>
      <c r="E62" s="15" t="s">
        <v>901</v>
      </c>
      <c r="F62" s="15" t="s">
        <v>902</v>
      </c>
      <c r="G62" s="15" t="s">
        <v>903</v>
      </c>
      <c r="H62" s="15"/>
    </row>
    <row r="63" spans="1:8" x14ac:dyDescent="0.25">
      <c r="A63" s="15" t="s">
        <v>166</v>
      </c>
      <c r="B63" s="15" t="s">
        <v>904</v>
      </c>
      <c r="C63" s="15" t="s">
        <v>348</v>
      </c>
      <c r="D63" s="15">
        <v>9891120442</v>
      </c>
      <c r="E63" s="15" t="s">
        <v>905</v>
      </c>
      <c r="F63" s="15" t="s">
        <v>906</v>
      </c>
      <c r="G63" s="15" t="s">
        <v>907</v>
      </c>
      <c r="H63" s="15"/>
    </row>
    <row r="64" spans="1:8" x14ac:dyDescent="0.25">
      <c r="A64" s="15" t="s">
        <v>167</v>
      </c>
      <c r="B64" s="15" t="s">
        <v>908</v>
      </c>
      <c r="C64" s="15" t="s">
        <v>278</v>
      </c>
      <c r="D64" s="15">
        <v>9510771188</v>
      </c>
      <c r="E64" s="15" t="s">
        <v>909</v>
      </c>
      <c r="F64" s="15" t="s">
        <v>910</v>
      </c>
      <c r="G64" s="15" t="s">
        <v>911</v>
      </c>
      <c r="H64" s="15"/>
    </row>
    <row r="65" spans="1:8" x14ac:dyDescent="0.25">
      <c r="A65" s="15" t="s">
        <v>169</v>
      </c>
      <c r="B65" s="15" t="s">
        <v>912</v>
      </c>
      <c r="C65" s="15" t="s">
        <v>913</v>
      </c>
      <c r="D65" s="15">
        <v>9799579688</v>
      </c>
      <c r="E65" s="15" t="s">
        <v>914</v>
      </c>
      <c r="F65" s="15" t="s">
        <v>915</v>
      </c>
      <c r="G65" s="15" t="s">
        <v>916</v>
      </c>
      <c r="H65" s="15"/>
    </row>
    <row r="66" spans="1:8" x14ac:dyDescent="0.25">
      <c r="A66" s="15" t="s">
        <v>171</v>
      </c>
      <c r="B66" s="15" t="s">
        <v>917</v>
      </c>
      <c r="C66" s="15" t="s">
        <v>248</v>
      </c>
      <c r="D66" s="15">
        <v>9206857784</v>
      </c>
      <c r="E66" s="15" t="s">
        <v>918</v>
      </c>
      <c r="F66" s="15" t="s">
        <v>919</v>
      </c>
      <c r="G66" s="15" t="s">
        <v>920</v>
      </c>
      <c r="H66" s="15"/>
    </row>
    <row r="67" spans="1:8" x14ac:dyDescent="0.25">
      <c r="A67" s="15" t="s">
        <v>173</v>
      </c>
      <c r="B67" s="15" t="s">
        <v>921</v>
      </c>
      <c r="C67" s="15" t="s">
        <v>922</v>
      </c>
      <c r="D67" s="15">
        <v>9227241474</v>
      </c>
      <c r="E67" s="15" t="s">
        <v>923</v>
      </c>
      <c r="F67" s="15" t="s">
        <v>924</v>
      </c>
      <c r="G67" s="15" t="s">
        <v>925</v>
      </c>
      <c r="H67" s="15"/>
    </row>
    <row r="68" spans="1:8" x14ac:dyDescent="0.25">
      <c r="A68" s="15" t="s">
        <v>177</v>
      </c>
      <c r="B68" s="15" t="s">
        <v>926</v>
      </c>
      <c r="C68" s="15" t="s">
        <v>927</v>
      </c>
      <c r="D68" s="15">
        <v>9643977481</v>
      </c>
      <c r="E68" s="15" t="s">
        <v>928</v>
      </c>
      <c r="F68" s="15" t="s">
        <v>929</v>
      </c>
      <c r="G68" s="15" t="s">
        <v>930</v>
      </c>
      <c r="H68" s="15"/>
    </row>
    <row r="69" spans="1:8" x14ac:dyDescent="0.25">
      <c r="A69" s="15" t="s">
        <v>179</v>
      </c>
      <c r="B69" s="15" t="s">
        <v>931</v>
      </c>
      <c r="C69" s="15" t="s">
        <v>275</v>
      </c>
      <c r="D69" s="15">
        <v>9662711277</v>
      </c>
      <c r="E69" s="15" t="s">
        <v>932</v>
      </c>
      <c r="F69" s="15" t="s">
        <v>933</v>
      </c>
      <c r="G69" s="15" t="s">
        <v>934</v>
      </c>
      <c r="H69" s="15"/>
    </row>
    <row r="70" spans="1:8" x14ac:dyDescent="0.25">
      <c r="A70" s="15" t="s">
        <v>180</v>
      </c>
      <c r="B70" s="15" t="s">
        <v>935</v>
      </c>
      <c r="C70" s="15" t="s">
        <v>936</v>
      </c>
      <c r="D70" s="15">
        <v>9348446255</v>
      </c>
      <c r="E70" s="15" t="s">
        <v>937</v>
      </c>
      <c r="F70" s="15" t="s">
        <v>938</v>
      </c>
      <c r="G70" s="15" t="s">
        <v>939</v>
      </c>
      <c r="H70" s="15"/>
    </row>
    <row r="71" spans="1:8" x14ac:dyDescent="0.25">
      <c r="A71" s="15" t="s">
        <v>181</v>
      </c>
      <c r="B71" s="15" t="s">
        <v>940</v>
      </c>
      <c r="C71" s="15" t="s">
        <v>941</v>
      </c>
      <c r="D71" s="15">
        <v>9535315694</v>
      </c>
      <c r="E71" s="15" t="s">
        <v>942</v>
      </c>
      <c r="F71" s="15" t="s">
        <v>943</v>
      </c>
      <c r="G71" s="15" t="s">
        <v>944</v>
      </c>
      <c r="H71" s="15"/>
    </row>
    <row r="72" spans="1:8" x14ac:dyDescent="0.25">
      <c r="A72" s="15" t="s">
        <v>183</v>
      </c>
      <c r="B72" s="15" t="s">
        <v>945</v>
      </c>
      <c r="C72" s="15" t="s">
        <v>188</v>
      </c>
      <c r="D72" s="15">
        <v>9448480313</v>
      </c>
      <c r="E72" s="15" t="s">
        <v>946</v>
      </c>
      <c r="F72" s="15" t="s">
        <v>947</v>
      </c>
      <c r="G72" s="15" t="s">
        <v>948</v>
      </c>
      <c r="H72" s="15"/>
    </row>
    <row r="73" spans="1:8" x14ac:dyDescent="0.25">
      <c r="A73" s="15" t="s">
        <v>184</v>
      </c>
      <c r="B73" s="15" t="s">
        <v>949</v>
      </c>
      <c r="C73" s="15" t="s">
        <v>139</v>
      </c>
      <c r="D73" s="15">
        <v>9169768902</v>
      </c>
      <c r="E73" s="15" t="s">
        <v>950</v>
      </c>
      <c r="F73" s="15" t="s">
        <v>951</v>
      </c>
      <c r="G73" s="15" t="s">
        <v>952</v>
      </c>
      <c r="H73" s="15"/>
    </row>
    <row r="74" spans="1:8" x14ac:dyDescent="0.25">
      <c r="A74" s="15" t="s">
        <v>186</v>
      </c>
      <c r="B74" s="15" t="s">
        <v>953</v>
      </c>
      <c r="C74" s="15" t="s">
        <v>954</v>
      </c>
      <c r="D74" s="15">
        <v>9996226520</v>
      </c>
      <c r="E74" s="15" t="s">
        <v>955</v>
      </c>
      <c r="F74" s="15" t="s">
        <v>956</v>
      </c>
      <c r="G74" s="15" t="s">
        <v>957</v>
      </c>
      <c r="H74" s="15"/>
    </row>
    <row r="75" spans="1:8" x14ac:dyDescent="0.25">
      <c r="A75" s="15" t="s">
        <v>187</v>
      </c>
      <c r="B75" s="15" t="s">
        <v>958</v>
      </c>
      <c r="C75" s="15" t="s">
        <v>411</v>
      </c>
      <c r="D75" s="15">
        <v>9500880736</v>
      </c>
      <c r="E75" s="15" t="s">
        <v>959</v>
      </c>
      <c r="F75" s="15" t="s">
        <v>960</v>
      </c>
      <c r="G75" s="15" t="s">
        <v>961</v>
      </c>
      <c r="H75" s="15"/>
    </row>
    <row r="76" spans="1:8" x14ac:dyDescent="0.25">
      <c r="A76" s="15" t="s">
        <v>189</v>
      </c>
      <c r="B76" s="15" t="s">
        <v>962</v>
      </c>
      <c r="C76" s="15" t="s">
        <v>768</v>
      </c>
      <c r="D76" s="15">
        <v>9886357475</v>
      </c>
      <c r="E76" s="15" t="s">
        <v>963</v>
      </c>
      <c r="F76" s="15" t="s">
        <v>964</v>
      </c>
      <c r="G76" s="15" t="s">
        <v>965</v>
      </c>
      <c r="H76" s="15"/>
    </row>
    <row r="77" spans="1:8" x14ac:dyDescent="0.25">
      <c r="A77" s="15" t="s">
        <v>191</v>
      </c>
      <c r="B77" s="15" t="s">
        <v>966</v>
      </c>
      <c r="C77" s="15" t="s">
        <v>524</v>
      </c>
      <c r="D77" s="15">
        <v>9545459676</v>
      </c>
      <c r="E77" s="15" t="s">
        <v>967</v>
      </c>
      <c r="F77" s="15" t="s">
        <v>968</v>
      </c>
      <c r="G77" s="15" t="s">
        <v>969</v>
      </c>
      <c r="H77" s="15"/>
    </row>
    <row r="78" spans="1:8" x14ac:dyDescent="0.25">
      <c r="A78" s="15" t="s">
        <v>192</v>
      </c>
      <c r="B78" s="15" t="s">
        <v>970</v>
      </c>
      <c r="C78" s="15" t="s">
        <v>228</v>
      </c>
      <c r="D78" s="15">
        <v>9698419618</v>
      </c>
      <c r="E78" s="15" t="s">
        <v>971</v>
      </c>
      <c r="F78" s="15" t="s">
        <v>972</v>
      </c>
      <c r="G78" s="15" t="s">
        <v>973</v>
      </c>
      <c r="H78" s="15"/>
    </row>
    <row r="79" spans="1:8" x14ac:dyDescent="0.25">
      <c r="A79" s="15" t="s">
        <v>194</v>
      </c>
      <c r="B79" s="15" t="s">
        <v>974</v>
      </c>
      <c r="C79" s="15" t="s">
        <v>220</v>
      </c>
      <c r="D79" s="15">
        <v>9336250319</v>
      </c>
      <c r="E79" s="15" t="s">
        <v>975</v>
      </c>
      <c r="F79" s="15" t="s">
        <v>976</v>
      </c>
      <c r="G79" s="15" t="s">
        <v>977</v>
      </c>
      <c r="H79" s="15"/>
    </row>
    <row r="80" spans="1:8" x14ac:dyDescent="0.25">
      <c r="A80" s="15" t="s">
        <v>195</v>
      </c>
      <c r="B80" s="15" t="s">
        <v>978</v>
      </c>
      <c r="C80" s="15" t="s">
        <v>742</v>
      </c>
      <c r="D80" s="15">
        <v>9287577427</v>
      </c>
      <c r="E80" s="15" t="s">
        <v>979</v>
      </c>
      <c r="F80" s="15" t="s">
        <v>980</v>
      </c>
      <c r="G80" s="15" t="s">
        <v>981</v>
      </c>
      <c r="H80" s="15"/>
    </row>
    <row r="81" spans="1:8" x14ac:dyDescent="0.25">
      <c r="A81" s="15" t="s">
        <v>196</v>
      </c>
      <c r="B81" s="15" t="s">
        <v>982</v>
      </c>
      <c r="C81" s="15" t="s">
        <v>518</v>
      </c>
      <c r="D81" s="15">
        <v>9543220928</v>
      </c>
      <c r="E81" s="15" t="s">
        <v>983</v>
      </c>
      <c r="F81" s="15" t="s">
        <v>984</v>
      </c>
      <c r="G81" s="15" t="s">
        <v>985</v>
      </c>
      <c r="H81" s="15"/>
    </row>
    <row r="82" spans="1:8" x14ac:dyDescent="0.25">
      <c r="A82" s="15" t="s">
        <v>198</v>
      </c>
      <c r="B82" s="15" t="s">
        <v>986</v>
      </c>
      <c r="C82" s="15" t="s">
        <v>211</v>
      </c>
      <c r="D82" s="15">
        <v>9716629275</v>
      </c>
      <c r="E82" s="15" t="s">
        <v>987</v>
      </c>
      <c r="F82" s="15" t="s">
        <v>988</v>
      </c>
      <c r="G82" s="15" t="s">
        <v>989</v>
      </c>
      <c r="H82" s="15"/>
    </row>
    <row r="83" spans="1:8" x14ac:dyDescent="0.25">
      <c r="A83" s="15" t="s">
        <v>199</v>
      </c>
      <c r="B83" s="15" t="s">
        <v>990</v>
      </c>
      <c r="C83" s="15" t="s">
        <v>435</v>
      </c>
      <c r="D83" s="15">
        <v>9793413569</v>
      </c>
      <c r="E83" s="15" t="s">
        <v>991</v>
      </c>
      <c r="F83" s="15" t="s">
        <v>992</v>
      </c>
      <c r="G83" s="15" t="s">
        <v>993</v>
      </c>
      <c r="H83" s="15"/>
    </row>
    <row r="84" spans="1:8" x14ac:dyDescent="0.25">
      <c r="A84" s="15" t="s">
        <v>201</v>
      </c>
      <c r="B84" s="15" t="s">
        <v>994</v>
      </c>
      <c r="C84" s="15" t="s">
        <v>297</v>
      </c>
      <c r="D84" s="15">
        <v>9100191870</v>
      </c>
      <c r="E84" s="15" t="s">
        <v>995</v>
      </c>
      <c r="F84" s="15" t="s">
        <v>996</v>
      </c>
      <c r="G84" s="15" t="s">
        <v>997</v>
      </c>
      <c r="H84" s="15"/>
    </row>
    <row r="85" spans="1:8" x14ac:dyDescent="0.25">
      <c r="A85" s="15" t="s">
        <v>203</v>
      </c>
      <c r="B85" s="15" t="s">
        <v>998</v>
      </c>
      <c r="C85" s="15" t="s">
        <v>93</v>
      </c>
      <c r="D85" s="15">
        <v>9660885798</v>
      </c>
      <c r="E85" s="15" t="s">
        <v>570</v>
      </c>
      <c r="F85" s="15" t="s">
        <v>999</v>
      </c>
      <c r="G85" s="15" t="s">
        <v>1000</v>
      </c>
      <c r="H85" s="15"/>
    </row>
    <row r="86" spans="1:8" x14ac:dyDescent="0.25">
      <c r="A86" s="15" t="s">
        <v>204</v>
      </c>
      <c r="B86" s="15" t="s">
        <v>1001</v>
      </c>
      <c r="C86" s="15" t="s">
        <v>601</v>
      </c>
      <c r="D86" s="15">
        <v>9140363815</v>
      </c>
      <c r="E86" s="15" t="s">
        <v>1002</v>
      </c>
      <c r="F86" s="15" t="s">
        <v>1003</v>
      </c>
      <c r="G86" s="15" t="s">
        <v>1004</v>
      </c>
      <c r="H86" s="15"/>
    </row>
    <row r="87" spans="1:8" x14ac:dyDescent="0.25">
      <c r="A87" s="15" t="s">
        <v>205</v>
      </c>
      <c r="B87" s="15" t="s">
        <v>1005</v>
      </c>
      <c r="C87" s="15" t="s">
        <v>1006</v>
      </c>
      <c r="D87" s="15">
        <v>9220401557</v>
      </c>
      <c r="E87" s="15" t="s">
        <v>1007</v>
      </c>
      <c r="F87" s="15" t="s">
        <v>1008</v>
      </c>
      <c r="G87" s="15" t="s">
        <v>1009</v>
      </c>
      <c r="H87" s="15"/>
    </row>
    <row r="88" spans="1:8" x14ac:dyDescent="0.25">
      <c r="A88" s="15" t="s">
        <v>208</v>
      </c>
      <c r="B88" s="15" t="s">
        <v>1010</v>
      </c>
      <c r="C88" s="15" t="s">
        <v>71</v>
      </c>
      <c r="D88" s="15">
        <v>9745384230</v>
      </c>
      <c r="E88" s="15" t="s">
        <v>1011</v>
      </c>
      <c r="F88" s="15" t="s">
        <v>1012</v>
      </c>
      <c r="G88" s="15" t="s">
        <v>1013</v>
      </c>
      <c r="H88" s="15"/>
    </row>
    <row r="89" spans="1:8" x14ac:dyDescent="0.25">
      <c r="A89" s="15" t="s">
        <v>210</v>
      </c>
      <c r="B89" s="15" t="s">
        <v>1014</v>
      </c>
      <c r="C89" s="15" t="s">
        <v>220</v>
      </c>
      <c r="D89" s="15">
        <v>9352080325</v>
      </c>
      <c r="E89" s="15" t="s">
        <v>1015</v>
      </c>
      <c r="F89" s="15" t="s">
        <v>1016</v>
      </c>
      <c r="G89" s="15" t="s">
        <v>1017</v>
      </c>
      <c r="H89" s="15"/>
    </row>
    <row r="90" spans="1:8" x14ac:dyDescent="0.25">
      <c r="A90" s="15" t="s">
        <v>212</v>
      </c>
      <c r="B90" s="15" t="s">
        <v>1018</v>
      </c>
      <c r="C90" s="15" t="s">
        <v>417</v>
      </c>
      <c r="D90" s="15">
        <v>9824199412</v>
      </c>
      <c r="E90" s="15" t="s">
        <v>1019</v>
      </c>
      <c r="F90" s="15" t="s">
        <v>1020</v>
      </c>
      <c r="G90" s="15" t="s">
        <v>1021</v>
      </c>
      <c r="H90" s="15"/>
    </row>
    <row r="91" spans="1:8" x14ac:dyDescent="0.25">
      <c r="A91" s="15" t="s">
        <v>213</v>
      </c>
      <c r="B91" s="15" t="s">
        <v>1022</v>
      </c>
      <c r="C91" s="15" t="s">
        <v>580</v>
      </c>
      <c r="D91" s="15">
        <v>9847134030</v>
      </c>
      <c r="E91" s="15" t="s">
        <v>1023</v>
      </c>
      <c r="F91" s="15" t="s">
        <v>1024</v>
      </c>
      <c r="G91" s="15" t="s">
        <v>1025</v>
      </c>
      <c r="H91" s="15"/>
    </row>
    <row r="92" spans="1:8" x14ac:dyDescent="0.25">
      <c r="A92" s="15" t="s">
        <v>215</v>
      </c>
      <c r="B92" s="15" t="s">
        <v>1026</v>
      </c>
      <c r="C92" s="15" t="s">
        <v>1027</v>
      </c>
      <c r="D92" s="15">
        <v>9642109043</v>
      </c>
      <c r="E92" s="15" t="s">
        <v>1028</v>
      </c>
      <c r="F92" s="15" t="s">
        <v>1029</v>
      </c>
      <c r="G92" s="15" t="s">
        <v>1030</v>
      </c>
      <c r="H92" s="15"/>
    </row>
    <row r="93" spans="1:8" x14ac:dyDescent="0.25">
      <c r="A93" s="15" t="s">
        <v>217</v>
      </c>
      <c r="B93" s="15" t="s">
        <v>1031</v>
      </c>
      <c r="C93" s="15" t="s">
        <v>135</v>
      </c>
      <c r="D93" s="15">
        <v>9916549236</v>
      </c>
      <c r="E93" s="15" t="s">
        <v>1032</v>
      </c>
      <c r="F93" s="15" t="s">
        <v>1033</v>
      </c>
      <c r="G93" s="15" t="s">
        <v>1034</v>
      </c>
      <c r="H93" s="15"/>
    </row>
    <row r="94" spans="1:8" x14ac:dyDescent="0.25">
      <c r="A94" s="15" t="s">
        <v>219</v>
      </c>
      <c r="B94" s="15" t="s">
        <v>1035</v>
      </c>
      <c r="C94" s="15" t="s">
        <v>280</v>
      </c>
      <c r="D94" s="15">
        <v>9522474439</v>
      </c>
      <c r="E94" s="15" t="s">
        <v>1036</v>
      </c>
      <c r="F94" s="15" t="s">
        <v>1037</v>
      </c>
      <c r="G94" s="15" t="s">
        <v>1038</v>
      </c>
      <c r="H94" s="15"/>
    </row>
    <row r="95" spans="1:8" x14ac:dyDescent="0.25">
      <c r="A95" s="15" t="s">
        <v>221</v>
      </c>
      <c r="B95" s="15" t="s">
        <v>1039</v>
      </c>
      <c r="C95" s="15" t="s">
        <v>413</v>
      </c>
      <c r="D95" s="15">
        <v>9582799376</v>
      </c>
      <c r="E95" s="15" t="s">
        <v>1040</v>
      </c>
      <c r="F95" s="15" t="s">
        <v>1041</v>
      </c>
      <c r="G95" s="15" t="s">
        <v>1042</v>
      </c>
      <c r="H95" s="15"/>
    </row>
    <row r="96" spans="1:8" x14ac:dyDescent="0.25">
      <c r="A96" s="15" t="s">
        <v>222</v>
      </c>
      <c r="B96" s="15" t="s">
        <v>1043</v>
      </c>
      <c r="C96" s="15" t="s">
        <v>516</v>
      </c>
      <c r="D96" s="15">
        <v>9663497104</v>
      </c>
      <c r="E96" s="15" t="s">
        <v>1044</v>
      </c>
      <c r="F96" s="15" t="s">
        <v>1045</v>
      </c>
      <c r="G96" s="15" t="s">
        <v>1046</v>
      </c>
      <c r="H96" s="15"/>
    </row>
    <row r="97" spans="1:8" x14ac:dyDescent="0.25">
      <c r="A97" s="15" t="s">
        <v>224</v>
      </c>
      <c r="B97" s="15" t="s">
        <v>1047</v>
      </c>
      <c r="C97" s="15" t="s">
        <v>477</v>
      </c>
      <c r="D97" s="15">
        <v>9103082418</v>
      </c>
      <c r="E97" s="15" t="s">
        <v>1048</v>
      </c>
      <c r="F97" s="15" t="s">
        <v>1049</v>
      </c>
      <c r="G97" s="15" t="s">
        <v>1050</v>
      </c>
      <c r="H97" s="15"/>
    </row>
    <row r="98" spans="1:8" x14ac:dyDescent="0.25">
      <c r="A98" s="15" t="s">
        <v>225</v>
      </c>
      <c r="B98" s="15" t="s">
        <v>1051</v>
      </c>
      <c r="C98" s="15" t="s">
        <v>624</v>
      </c>
      <c r="D98" s="15">
        <v>9925419790</v>
      </c>
      <c r="E98" s="15" t="s">
        <v>1052</v>
      </c>
      <c r="F98" s="15" t="s">
        <v>1053</v>
      </c>
      <c r="G98" s="15" t="s">
        <v>1054</v>
      </c>
      <c r="H98" s="15"/>
    </row>
    <row r="99" spans="1:8" x14ac:dyDescent="0.25">
      <c r="A99" s="15" t="s">
        <v>227</v>
      </c>
      <c r="B99" s="15" t="s">
        <v>1055</v>
      </c>
      <c r="C99" s="15" t="s">
        <v>496</v>
      </c>
      <c r="D99" s="15">
        <v>9579261983</v>
      </c>
      <c r="E99" s="15" t="s">
        <v>1056</v>
      </c>
      <c r="F99" s="15" t="s">
        <v>1057</v>
      </c>
      <c r="G99" s="15" t="s">
        <v>1058</v>
      </c>
      <c r="H99" s="15"/>
    </row>
    <row r="100" spans="1:8" x14ac:dyDescent="0.25">
      <c r="A100" s="15" t="s">
        <v>229</v>
      </c>
      <c r="B100" s="15" t="s">
        <v>1059</v>
      </c>
      <c r="C100" s="15" t="s">
        <v>573</v>
      </c>
      <c r="D100" s="15">
        <v>9137424614</v>
      </c>
      <c r="E100" s="15" t="s">
        <v>1060</v>
      </c>
      <c r="F100" s="15" t="s">
        <v>1061</v>
      </c>
      <c r="G100" s="15" t="s">
        <v>1062</v>
      </c>
      <c r="H100" s="15"/>
    </row>
    <row r="101" spans="1:8" x14ac:dyDescent="0.25">
      <c r="A101" s="15" t="s">
        <v>231</v>
      </c>
      <c r="B101" s="15" t="s">
        <v>1063</v>
      </c>
      <c r="C101" s="15" t="s">
        <v>137</v>
      </c>
      <c r="D101" s="15">
        <v>9459672275</v>
      </c>
      <c r="E101" s="15" t="s">
        <v>1064</v>
      </c>
      <c r="F101" s="15" t="s">
        <v>1065</v>
      </c>
      <c r="G101" s="15" t="s">
        <v>1066</v>
      </c>
      <c r="H101" s="15"/>
    </row>
    <row r="102" spans="1:8" x14ac:dyDescent="0.25">
      <c r="A102" s="15" t="s">
        <v>232</v>
      </c>
      <c r="B102" s="15" t="s">
        <v>1067</v>
      </c>
      <c r="C102" s="15" t="s">
        <v>1068</v>
      </c>
      <c r="D102" s="15">
        <v>9351111984</v>
      </c>
      <c r="E102" s="15" t="s">
        <v>1069</v>
      </c>
      <c r="F102" s="15" t="s">
        <v>875</v>
      </c>
      <c r="G102" s="15" t="s">
        <v>1070</v>
      </c>
      <c r="H102" s="15"/>
    </row>
    <row r="103" spans="1:8" x14ac:dyDescent="0.25">
      <c r="A103" s="15" t="s">
        <v>234</v>
      </c>
      <c r="B103" s="15" t="s">
        <v>1071</v>
      </c>
      <c r="C103" s="15" t="s">
        <v>526</v>
      </c>
      <c r="D103" s="15">
        <v>9109347112</v>
      </c>
      <c r="E103" s="15" t="s">
        <v>1072</v>
      </c>
      <c r="F103" s="15" t="s">
        <v>1073</v>
      </c>
      <c r="G103" s="15" t="s">
        <v>1074</v>
      </c>
      <c r="H103" s="15"/>
    </row>
    <row r="104" spans="1:8" x14ac:dyDescent="0.25">
      <c r="A104" s="15" t="s">
        <v>236</v>
      </c>
      <c r="B104" s="15" t="s">
        <v>1075</v>
      </c>
      <c r="C104" s="15" t="s">
        <v>294</v>
      </c>
      <c r="D104" s="15">
        <v>9649632103</v>
      </c>
      <c r="E104" s="15" t="s">
        <v>1076</v>
      </c>
      <c r="F104" s="15" t="s">
        <v>1077</v>
      </c>
      <c r="G104" s="15" t="s">
        <v>1078</v>
      </c>
      <c r="H104" s="15"/>
    </row>
    <row r="105" spans="1:8" x14ac:dyDescent="0.25">
      <c r="A105" s="15" t="s">
        <v>238</v>
      </c>
      <c r="B105" s="15" t="s">
        <v>1079</v>
      </c>
      <c r="C105" s="15" t="s">
        <v>220</v>
      </c>
      <c r="D105" s="15">
        <v>9684777643</v>
      </c>
      <c r="E105" s="15" t="s">
        <v>975</v>
      </c>
      <c r="F105" s="15" t="s">
        <v>1080</v>
      </c>
      <c r="G105" s="15" t="s">
        <v>1081</v>
      </c>
      <c r="H105" s="15"/>
    </row>
    <row r="106" spans="1:8" x14ac:dyDescent="0.25">
      <c r="A106" s="15" t="s">
        <v>239</v>
      </c>
      <c r="B106" s="15" t="s">
        <v>1082</v>
      </c>
      <c r="C106" s="15" t="s">
        <v>269</v>
      </c>
      <c r="D106" s="15">
        <v>9552110031</v>
      </c>
      <c r="E106" s="15" t="s">
        <v>1083</v>
      </c>
      <c r="F106" s="15" t="s">
        <v>1084</v>
      </c>
      <c r="G106" s="15" t="s">
        <v>1085</v>
      </c>
      <c r="H106" s="15"/>
    </row>
    <row r="107" spans="1:8" x14ac:dyDescent="0.25">
      <c r="A107" s="15" t="s">
        <v>241</v>
      </c>
      <c r="B107" s="15" t="s">
        <v>1086</v>
      </c>
      <c r="C107" s="15" t="s">
        <v>1087</v>
      </c>
      <c r="D107" s="15">
        <v>9823818620</v>
      </c>
      <c r="E107" s="15" t="s">
        <v>1088</v>
      </c>
      <c r="F107" s="15" t="s">
        <v>1089</v>
      </c>
      <c r="G107" s="15" t="s">
        <v>1090</v>
      </c>
      <c r="H107" s="15"/>
    </row>
    <row r="108" spans="1:8" x14ac:dyDescent="0.25">
      <c r="A108" s="15" t="s">
        <v>242</v>
      </c>
      <c r="B108" s="15" t="s">
        <v>1091</v>
      </c>
      <c r="C108" s="15" t="s">
        <v>137</v>
      </c>
      <c r="D108" s="15">
        <v>9892493869</v>
      </c>
      <c r="E108" s="15" t="s">
        <v>1092</v>
      </c>
      <c r="F108" s="15" t="s">
        <v>1093</v>
      </c>
      <c r="G108" s="15" t="s">
        <v>1094</v>
      </c>
      <c r="H108" s="15"/>
    </row>
    <row r="109" spans="1:8" x14ac:dyDescent="0.25">
      <c r="A109" s="15" t="s">
        <v>243</v>
      </c>
      <c r="B109" s="15" t="s">
        <v>1095</v>
      </c>
      <c r="C109" s="15" t="s">
        <v>1096</v>
      </c>
      <c r="D109" s="15">
        <v>9720924237</v>
      </c>
      <c r="E109" s="15" t="s">
        <v>1097</v>
      </c>
      <c r="F109" s="15" t="s">
        <v>1098</v>
      </c>
      <c r="G109" s="15" t="s">
        <v>1099</v>
      </c>
      <c r="H109" s="15"/>
    </row>
    <row r="110" spans="1:8" x14ac:dyDescent="0.25">
      <c r="A110" s="15" t="s">
        <v>244</v>
      </c>
      <c r="B110" s="15" t="s">
        <v>1100</v>
      </c>
      <c r="C110" s="15" t="s">
        <v>132</v>
      </c>
      <c r="D110" s="15">
        <v>9968058944</v>
      </c>
      <c r="E110" s="15" t="s">
        <v>1101</v>
      </c>
      <c r="F110" s="15" t="s">
        <v>1102</v>
      </c>
      <c r="G110" s="15" t="s">
        <v>1103</v>
      </c>
      <c r="H110" s="15"/>
    </row>
    <row r="111" spans="1:8" x14ac:dyDescent="0.25">
      <c r="A111" s="15" t="s">
        <v>245</v>
      </c>
      <c r="B111" s="15" t="s">
        <v>1104</v>
      </c>
      <c r="C111" s="15" t="s">
        <v>168</v>
      </c>
      <c r="D111" s="15">
        <v>9501446613</v>
      </c>
      <c r="E111" s="15" t="s">
        <v>1105</v>
      </c>
      <c r="F111" s="15" t="s">
        <v>1106</v>
      </c>
      <c r="G111" s="15" t="s">
        <v>1107</v>
      </c>
      <c r="H111" s="15"/>
    </row>
    <row r="112" spans="1:8" x14ac:dyDescent="0.25">
      <c r="A112" s="15" t="s">
        <v>246</v>
      </c>
      <c r="B112" s="15" t="s">
        <v>1108</v>
      </c>
      <c r="C112" s="15" t="s">
        <v>1109</v>
      </c>
      <c r="D112" s="15">
        <v>9650474151</v>
      </c>
      <c r="E112" s="15" t="s">
        <v>1110</v>
      </c>
      <c r="F112" s="15" t="s">
        <v>1111</v>
      </c>
      <c r="G112" s="15" t="s">
        <v>1112</v>
      </c>
      <c r="H112" s="15"/>
    </row>
    <row r="113" spans="1:8" x14ac:dyDescent="0.25">
      <c r="A113" s="15" t="s">
        <v>247</v>
      </c>
      <c r="B113" s="15" t="s">
        <v>1113</v>
      </c>
      <c r="C113" s="15" t="s">
        <v>237</v>
      </c>
      <c r="D113" s="15">
        <v>9251794331</v>
      </c>
      <c r="E113" s="15" t="s">
        <v>1114</v>
      </c>
      <c r="F113" s="15" t="s">
        <v>1115</v>
      </c>
      <c r="G113" s="15" t="s">
        <v>1116</v>
      </c>
      <c r="H113" s="15"/>
    </row>
    <row r="114" spans="1:8" x14ac:dyDescent="0.25">
      <c r="A114" s="15" t="s">
        <v>249</v>
      </c>
      <c r="B114" s="15" t="s">
        <v>1117</v>
      </c>
      <c r="C114" s="15" t="s">
        <v>1118</v>
      </c>
      <c r="D114" s="15">
        <v>9499227139</v>
      </c>
      <c r="E114" s="15" t="s">
        <v>1119</v>
      </c>
      <c r="F114" s="15" t="s">
        <v>1120</v>
      </c>
      <c r="G114" s="15" t="s">
        <v>1121</v>
      </c>
      <c r="H114" s="15"/>
    </row>
    <row r="115" spans="1:8" x14ac:dyDescent="0.25">
      <c r="A115" s="15" t="s">
        <v>251</v>
      </c>
      <c r="B115" s="15" t="s">
        <v>1122</v>
      </c>
      <c r="C115" s="15" t="s">
        <v>200</v>
      </c>
      <c r="D115" s="15">
        <v>9538269252</v>
      </c>
      <c r="E115" s="15" t="s">
        <v>1123</v>
      </c>
      <c r="F115" s="15" t="s">
        <v>1124</v>
      </c>
      <c r="G115" s="15" t="s">
        <v>1125</v>
      </c>
      <c r="H115" s="15"/>
    </row>
    <row r="116" spans="1:8" x14ac:dyDescent="0.25">
      <c r="A116" s="15" t="s">
        <v>252</v>
      </c>
      <c r="B116" s="15" t="s">
        <v>1126</v>
      </c>
      <c r="C116" s="15" t="s">
        <v>346</v>
      </c>
      <c r="D116" s="15">
        <v>9391163211</v>
      </c>
      <c r="E116" s="15" t="s">
        <v>1127</v>
      </c>
      <c r="F116" s="15" t="s">
        <v>1128</v>
      </c>
      <c r="G116" s="15" t="s">
        <v>1129</v>
      </c>
      <c r="H116" s="15"/>
    </row>
    <row r="117" spans="1:8" x14ac:dyDescent="0.25">
      <c r="A117" s="15" t="s">
        <v>253</v>
      </c>
      <c r="B117" s="15" t="s">
        <v>1130</v>
      </c>
      <c r="C117" s="15" t="s">
        <v>104</v>
      </c>
      <c r="D117" s="15">
        <v>9119556248</v>
      </c>
      <c r="E117" s="15" t="s">
        <v>1131</v>
      </c>
      <c r="F117" s="15" t="s">
        <v>1132</v>
      </c>
      <c r="G117" s="15" t="s">
        <v>1133</v>
      </c>
      <c r="H117" s="15"/>
    </row>
    <row r="118" spans="1:8" x14ac:dyDescent="0.25">
      <c r="A118" s="15" t="s">
        <v>254</v>
      </c>
      <c r="B118" s="15" t="s">
        <v>1134</v>
      </c>
      <c r="C118" s="15" t="s">
        <v>413</v>
      </c>
      <c r="D118" s="15">
        <v>9221911884</v>
      </c>
      <c r="E118" s="15" t="s">
        <v>1135</v>
      </c>
      <c r="F118" s="15" t="s">
        <v>1136</v>
      </c>
      <c r="G118" s="15" t="s">
        <v>1137</v>
      </c>
      <c r="H118" s="15"/>
    </row>
    <row r="119" spans="1:8" x14ac:dyDescent="0.25">
      <c r="A119" s="15" t="s">
        <v>255</v>
      </c>
      <c r="B119" s="15" t="s">
        <v>1138</v>
      </c>
      <c r="C119" s="15" t="s">
        <v>1139</v>
      </c>
      <c r="D119" s="15">
        <v>9284346077</v>
      </c>
      <c r="E119" s="15" t="s">
        <v>1140</v>
      </c>
      <c r="F119" s="15" t="s">
        <v>1141</v>
      </c>
      <c r="G119" s="15" t="s">
        <v>1142</v>
      </c>
      <c r="H119" s="15"/>
    </row>
    <row r="120" spans="1:8" x14ac:dyDescent="0.25">
      <c r="A120" s="15" t="s">
        <v>256</v>
      </c>
      <c r="B120" s="15" t="s">
        <v>1143</v>
      </c>
      <c r="C120" s="15" t="s">
        <v>153</v>
      </c>
      <c r="D120" s="15">
        <v>9909124394</v>
      </c>
      <c r="E120" s="15" t="s">
        <v>1144</v>
      </c>
      <c r="F120" s="15" t="s">
        <v>1145</v>
      </c>
      <c r="G120" s="15" t="s">
        <v>1146</v>
      </c>
      <c r="H120" s="15"/>
    </row>
    <row r="121" spans="1:8" x14ac:dyDescent="0.25">
      <c r="A121" s="15" t="s">
        <v>257</v>
      </c>
      <c r="B121" s="15" t="s">
        <v>1147</v>
      </c>
      <c r="C121" s="15" t="s">
        <v>1148</v>
      </c>
      <c r="D121" s="15">
        <v>9864837338</v>
      </c>
      <c r="E121" s="15" t="s">
        <v>1149</v>
      </c>
      <c r="F121" s="15" t="s">
        <v>1150</v>
      </c>
      <c r="G121" s="15" t="s">
        <v>1151</v>
      </c>
      <c r="H121" s="15"/>
    </row>
    <row r="122" spans="1:8" x14ac:dyDescent="0.25">
      <c r="A122" s="15" t="s">
        <v>260</v>
      </c>
      <c r="B122" s="15" t="s">
        <v>1152</v>
      </c>
      <c r="C122" s="15" t="s">
        <v>526</v>
      </c>
      <c r="D122" s="15">
        <v>9707122916</v>
      </c>
      <c r="E122" s="15" t="s">
        <v>1153</v>
      </c>
      <c r="F122" s="15" t="s">
        <v>1154</v>
      </c>
      <c r="G122" s="15" t="s">
        <v>1155</v>
      </c>
      <c r="H122" s="15"/>
    </row>
    <row r="123" spans="1:8" x14ac:dyDescent="0.25">
      <c r="A123" s="15" t="s">
        <v>262</v>
      </c>
      <c r="B123" s="15" t="s">
        <v>1156</v>
      </c>
      <c r="C123" s="15" t="s">
        <v>178</v>
      </c>
      <c r="D123" s="15">
        <v>9878336856</v>
      </c>
      <c r="E123" s="15" t="s">
        <v>1157</v>
      </c>
      <c r="F123" s="15" t="s">
        <v>1154</v>
      </c>
      <c r="G123" s="15" t="s">
        <v>1158</v>
      </c>
      <c r="H123" s="15"/>
    </row>
    <row r="124" spans="1:8" x14ac:dyDescent="0.25">
      <c r="A124" s="15" t="s">
        <v>263</v>
      </c>
      <c r="B124" s="15" t="s">
        <v>1159</v>
      </c>
      <c r="C124" s="15" t="s">
        <v>1160</v>
      </c>
      <c r="D124" s="15">
        <v>9430939711</v>
      </c>
      <c r="E124" s="15" t="s">
        <v>1161</v>
      </c>
      <c r="F124" s="15" t="s">
        <v>1162</v>
      </c>
      <c r="G124" s="15" t="s">
        <v>1163</v>
      </c>
      <c r="H124" s="15"/>
    </row>
    <row r="125" spans="1:8" x14ac:dyDescent="0.25">
      <c r="A125" s="15" t="s">
        <v>264</v>
      </c>
      <c r="B125" s="15" t="s">
        <v>1164</v>
      </c>
      <c r="C125" s="15" t="s">
        <v>1165</v>
      </c>
      <c r="D125" s="15">
        <v>9103766788</v>
      </c>
      <c r="E125" s="15" t="s">
        <v>1166</v>
      </c>
      <c r="F125" s="15" t="s">
        <v>1167</v>
      </c>
      <c r="G125" s="15" t="s">
        <v>1168</v>
      </c>
      <c r="H125" s="15"/>
    </row>
    <row r="126" spans="1:8" x14ac:dyDescent="0.25">
      <c r="A126" s="15" t="s">
        <v>265</v>
      </c>
      <c r="B126" s="15" t="s">
        <v>1169</v>
      </c>
      <c r="C126" s="15" t="s">
        <v>1170</v>
      </c>
      <c r="D126" s="15">
        <v>9172070263</v>
      </c>
      <c r="E126" s="15" t="s">
        <v>1171</v>
      </c>
      <c r="F126" s="15" t="s">
        <v>566</v>
      </c>
      <c r="G126" s="15" t="s">
        <v>1172</v>
      </c>
      <c r="H126" s="15"/>
    </row>
    <row r="127" spans="1:8" x14ac:dyDescent="0.25">
      <c r="A127" s="15" t="s">
        <v>267</v>
      </c>
      <c r="B127" s="15" t="s">
        <v>629</v>
      </c>
      <c r="C127" s="15" t="s">
        <v>1173</v>
      </c>
      <c r="D127" s="15">
        <v>9143649358</v>
      </c>
      <c r="E127" s="15" t="s">
        <v>1174</v>
      </c>
      <c r="F127" s="15" t="s">
        <v>1175</v>
      </c>
      <c r="G127" s="15" t="s">
        <v>1176</v>
      </c>
      <c r="H127" s="15"/>
    </row>
    <row r="128" spans="1:8" x14ac:dyDescent="0.25">
      <c r="A128" s="15" t="s">
        <v>268</v>
      </c>
      <c r="B128" s="15" t="s">
        <v>1177</v>
      </c>
      <c r="C128" s="15" t="s">
        <v>544</v>
      </c>
      <c r="D128" s="15">
        <v>9942074269</v>
      </c>
      <c r="E128" s="15" t="s">
        <v>1178</v>
      </c>
      <c r="F128" s="15" t="s">
        <v>1179</v>
      </c>
      <c r="G128" s="15" t="s">
        <v>1180</v>
      </c>
      <c r="H128" s="15"/>
    </row>
    <row r="129" spans="1:8" x14ac:dyDescent="0.25">
      <c r="A129" s="15" t="s">
        <v>270</v>
      </c>
      <c r="B129" s="15" t="s">
        <v>1181</v>
      </c>
      <c r="C129" s="15" t="s">
        <v>516</v>
      </c>
      <c r="D129" s="15">
        <v>9946518213</v>
      </c>
      <c r="E129" s="15" t="s">
        <v>1182</v>
      </c>
      <c r="F129" s="15" t="s">
        <v>1183</v>
      </c>
      <c r="G129" s="15" t="s">
        <v>1184</v>
      </c>
      <c r="H129" s="15"/>
    </row>
    <row r="130" spans="1:8" x14ac:dyDescent="0.25">
      <c r="A130" s="15" t="s">
        <v>271</v>
      </c>
      <c r="B130" s="15" t="s">
        <v>1185</v>
      </c>
      <c r="C130" s="15" t="s">
        <v>218</v>
      </c>
      <c r="D130" s="15">
        <v>9975772452</v>
      </c>
      <c r="E130" s="15" t="s">
        <v>1186</v>
      </c>
      <c r="F130" s="15" t="s">
        <v>1187</v>
      </c>
      <c r="G130" s="15" t="s">
        <v>1188</v>
      </c>
      <c r="H130" s="15"/>
    </row>
    <row r="131" spans="1:8" x14ac:dyDescent="0.25">
      <c r="A131" s="15" t="s">
        <v>272</v>
      </c>
      <c r="B131" s="15" t="s">
        <v>1189</v>
      </c>
      <c r="C131" s="15" t="s">
        <v>1190</v>
      </c>
      <c r="D131" s="15">
        <v>9354905424</v>
      </c>
      <c r="E131" s="15" t="s">
        <v>1191</v>
      </c>
      <c r="F131" s="15" t="s">
        <v>1192</v>
      </c>
      <c r="G131" s="15" t="s">
        <v>1193</v>
      </c>
      <c r="H131" s="15"/>
    </row>
    <row r="132" spans="1:8" x14ac:dyDescent="0.25">
      <c r="A132" s="15" t="s">
        <v>274</v>
      </c>
      <c r="B132" s="15" t="s">
        <v>1194</v>
      </c>
      <c r="C132" s="15" t="s">
        <v>1195</v>
      </c>
      <c r="D132" s="15">
        <v>9504629761</v>
      </c>
      <c r="E132" s="15" t="s">
        <v>1196</v>
      </c>
      <c r="F132" s="15" t="s">
        <v>1197</v>
      </c>
      <c r="G132" s="15" t="s">
        <v>1198</v>
      </c>
      <c r="H132" s="15"/>
    </row>
    <row r="133" spans="1:8" x14ac:dyDescent="0.25">
      <c r="A133" s="15" t="s">
        <v>276</v>
      </c>
      <c r="B133" s="15" t="s">
        <v>1199</v>
      </c>
      <c r="C133" s="15" t="s">
        <v>282</v>
      </c>
      <c r="D133" s="15">
        <v>9659905371</v>
      </c>
      <c r="E133" s="15" t="s">
        <v>1200</v>
      </c>
      <c r="F133" s="15" t="s">
        <v>1201</v>
      </c>
      <c r="G133" s="15" t="s">
        <v>1202</v>
      </c>
      <c r="H133" s="15"/>
    </row>
    <row r="134" spans="1:8" x14ac:dyDescent="0.25">
      <c r="A134" s="15" t="s">
        <v>277</v>
      </c>
      <c r="B134" s="15" t="s">
        <v>1203</v>
      </c>
      <c r="C134" s="15" t="s">
        <v>455</v>
      </c>
      <c r="D134" s="15">
        <v>9496151114</v>
      </c>
      <c r="E134" s="15" t="s">
        <v>1204</v>
      </c>
      <c r="F134" s="15" t="s">
        <v>1205</v>
      </c>
      <c r="G134" s="15" t="s">
        <v>1206</v>
      </c>
      <c r="H134" s="15"/>
    </row>
    <row r="135" spans="1:8" x14ac:dyDescent="0.25">
      <c r="A135" s="15" t="s">
        <v>279</v>
      </c>
      <c r="B135" s="15" t="s">
        <v>1207</v>
      </c>
      <c r="C135" s="15" t="s">
        <v>1208</v>
      </c>
      <c r="D135" s="15">
        <v>9151852558</v>
      </c>
      <c r="E135" s="15" t="s">
        <v>1209</v>
      </c>
      <c r="F135" s="15" t="s">
        <v>1210</v>
      </c>
      <c r="G135" s="15" t="s">
        <v>1211</v>
      </c>
      <c r="H135" s="15"/>
    </row>
    <row r="136" spans="1:8" x14ac:dyDescent="0.25">
      <c r="A136" s="15" t="s">
        <v>281</v>
      </c>
      <c r="B136" s="15" t="s">
        <v>1212</v>
      </c>
      <c r="C136" s="15" t="s">
        <v>1213</v>
      </c>
      <c r="D136" s="15">
        <v>9337981466</v>
      </c>
      <c r="E136" s="15" t="s">
        <v>1214</v>
      </c>
      <c r="F136" s="15" t="s">
        <v>1215</v>
      </c>
      <c r="G136" s="15" t="s">
        <v>1216</v>
      </c>
      <c r="H136" s="15"/>
    </row>
    <row r="137" spans="1:8" x14ac:dyDescent="0.25">
      <c r="A137" s="15" t="s">
        <v>283</v>
      </c>
      <c r="B137" s="15" t="s">
        <v>1217</v>
      </c>
      <c r="C137" s="15" t="s">
        <v>102</v>
      </c>
      <c r="D137" s="15">
        <v>9757687733</v>
      </c>
      <c r="E137" s="15" t="s">
        <v>1218</v>
      </c>
      <c r="F137" s="15" t="s">
        <v>105</v>
      </c>
      <c r="G137" s="15" t="s">
        <v>1219</v>
      </c>
      <c r="H137" s="15"/>
    </row>
    <row r="138" spans="1:8" x14ac:dyDescent="0.25">
      <c r="A138" s="15" t="s">
        <v>284</v>
      </c>
      <c r="B138" s="15" t="s">
        <v>1220</v>
      </c>
      <c r="C138" s="15" t="s">
        <v>118</v>
      </c>
      <c r="D138" s="15">
        <v>9673499589</v>
      </c>
      <c r="E138" s="15" t="s">
        <v>1221</v>
      </c>
      <c r="F138" s="15" t="s">
        <v>1222</v>
      </c>
      <c r="G138" s="15" t="s">
        <v>1223</v>
      </c>
      <c r="H138" s="15"/>
    </row>
    <row r="139" spans="1:8" x14ac:dyDescent="0.25">
      <c r="A139" s="15" t="s">
        <v>285</v>
      </c>
      <c r="B139" s="15" t="s">
        <v>1224</v>
      </c>
      <c r="C139" s="15" t="s">
        <v>421</v>
      </c>
      <c r="D139" s="15">
        <v>9115152664</v>
      </c>
      <c r="E139" s="15" t="s">
        <v>1225</v>
      </c>
      <c r="F139" s="15" t="s">
        <v>1226</v>
      </c>
      <c r="G139" s="15" t="s">
        <v>1227</v>
      </c>
      <c r="H139" s="15"/>
    </row>
    <row r="140" spans="1:8" x14ac:dyDescent="0.25">
      <c r="A140" s="15" t="s">
        <v>287</v>
      </c>
      <c r="B140" s="15" t="s">
        <v>1228</v>
      </c>
      <c r="C140" s="15" t="s">
        <v>1229</v>
      </c>
      <c r="D140" s="15">
        <v>9389652746</v>
      </c>
      <c r="E140" s="15" t="s">
        <v>1230</v>
      </c>
      <c r="F140" s="15" t="s">
        <v>1231</v>
      </c>
      <c r="G140" s="15" t="s">
        <v>1232</v>
      </c>
      <c r="H140" s="15"/>
    </row>
    <row r="141" spans="1:8" x14ac:dyDescent="0.25">
      <c r="A141" s="15" t="s">
        <v>288</v>
      </c>
      <c r="B141" s="15" t="s">
        <v>1233</v>
      </c>
      <c r="C141" s="15" t="s">
        <v>1087</v>
      </c>
      <c r="D141" s="15">
        <v>9655749968</v>
      </c>
      <c r="E141" s="15" t="s">
        <v>1234</v>
      </c>
      <c r="F141" s="15" t="s">
        <v>1235</v>
      </c>
      <c r="G141" s="15" t="s">
        <v>1236</v>
      </c>
      <c r="H141" s="15"/>
    </row>
    <row r="142" spans="1:8" x14ac:dyDescent="0.25">
      <c r="A142" s="15" t="s">
        <v>290</v>
      </c>
      <c r="B142" s="15" t="s">
        <v>368</v>
      </c>
      <c r="C142" s="15" t="s">
        <v>472</v>
      </c>
      <c r="D142" s="15">
        <v>9299348635</v>
      </c>
      <c r="E142" s="15" t="s">
        <v>1237</v>
      </c>
      <c r="F142" s="15" t="s">
        <v>1238</v>
      </c>
      <c r="G142" s="15" t="s">
        <v>1239</v>
      </c>
      <c r="H142" s="15"/>
    </row>
    <row r="143" spans="1:8" x14ac:dyDescent="0.25">
      <c r="A143" s="15" t="s">
        <v>291</v>
      </c>
      <c r="B143" s="15" t="s">
        <v>1240</v>
      </c>
      <c r="C143" s="15" t="s">
        <v>185</v>
      </c>
      <c r="D143" s="15">
        <v>9314231104</v>
      </c>
      <c r="E143" s="15" t="s">
        <v>1241</v>
      </c>
      <c r="F143" s="15" t="s">
        <v>1242</v>
      </c>
      <c r="G143" s="15" t="s">
        <v>1243</v>
      </c>
      <c r="H143" s="15"/>
    </row>
    <row r="144" spans="1:8" x14ac:dyDescent="0.25">
      <c r="A144" s="15" t="s">
        <v>292</v>
      </c>
      <c r="B144" s="15" t="s">
        <v>1244</v>
      </c>
      <c r="C144" s="15" t="s">
        <v>486</v>
      </c>
      <c r="D144" s="15">
        <v>9772123530</v>
      </c>
      <c r="E144" s="15" t="s">
        <v>1245</v>
      </c>
      <c r="F144" s="15" t="s">
        <v>1246</v>
      </c>
      <c r="G144" s="15" t="s">
        <v>1247</v>
      </c>
      <c r="H144" s="15"/>
    </row>
    <row r="145" spans="1:8" x14ac:dyDescent="0.25">
      <c r="A145" s="15" t="s">
        <v>293</v>
      </c>
      <c r="B145" s="15" t="s">
        <v>1248</v>
      </c>
      <c r="C145" s="15" t="s">
        <v>348</v>
      </c>
      <c r="D145" s="15">
        <v>9803871333</v>
      </c>
      <c r="E145" s="15" t="s">
        <v>1249</v>
      </c>
      <c r="F145" s="15" t="s">
        <v>470</v>
      </c>
      <c r="G145" s="15" t="s">
        <v>1250</v>
      </c>
      <c r="H145" s="15"/>
    </row>
    <row r="146" spans="1:8" x14ac:dyDescent="0.25">
      <c r="A146" s="15" t="s">
        <v>295</v>
      </c>
      <c r="B146" s="15" t="s">
        <v>1251</v>
      </c>
      <c r="C146" s="15" t="s">
        <v>289</v>
      </c>
      <c r="D146" s="15">
        <v>9904934916</v>
      </c>
      <c r="E146" s="15" t="s">
        <v>1252</v>
      </c>
      <c r="F146" s="15" t="s">
        <v>1253</v>
      </c>
      <c r="G146" s="15" t="s">
        <v>1254</v>
      </c>
      <c r="H146" s="15"/>
    </row>
    <row r="147" spans="1:8" x14ac:dyDescent="0.25">
      <c r="A147" s="15" t="s">
        <v>296</v>
      </c>
      <c r="B147" s="15" t="s">
        <v>1255</v>
      </c>
      <c r="C147" s="15" t="s">
        <v>1229</v>
      </c>
      <c r="D147" s="15">
        <v>9661829643</v>
      </c>
      <c r="E147" s="15" t="s">
        <v>1256</v>
      </c>
      <c r="F147" s="15" t="s">
        <v>1257</v>
      </c>
      <c r="G147" s="15" t="s">
        <v>1258</v>
      </c>
      <c r="H147" s="15"/>
    </row>
    <row r="148" spans="1:8" x14ac:dyDescent="0.25">
      <c r="A148" s="15" t="s">
        <v>298</v>
      </c>
      <c r="B148" s="15" t="s">
        <v>1259</v>
      </c>
      <c r="C148" s="15" t="s">
        <v>258</v>
      </c>
      <c r="D148" s="15">
        <v>9898733637</v>
      </c>
      <c r="E148" s="15" t="s">
        <v>1260</v>
      </c>
      <c r="F148" s="15" t="s">
        <v>1261</v>
      </c>
      <c r="G148" s="15" t="s">
        <v>1262</v>
      </c>
      <c r="H148" s="15"/>
    </row>
    <row r="149" spans="1:8" x14ac:dyDescent="0.25">
      <c r="A149" s="15" t="s">
        <v>299</v>
      </c>
      <c r="B149" s="15" t="s">
        <v>1263</v>
      </c>
      <c r="C149" s="15" t="s">
        <v>809</v>
      </c>
      <c r="D149" s="15">
        <v>9777204713</v>
      </c>
      <c r="E149" s="15" t="s">
        <v>1264</v>
      </c>
      <c r="F149" s="15" t="s">
        <v>1265</v>
      </c>
      <c r="G149" s="15" t="s">
        <v>1266</v>
      </c>
      <c r="H149" s="15"/>
    </row>
    <row r="150" spans="1:8" x14ac:dyDescent="0.25">
      <c r="A150" s="15" t="s">
        <v>300</v>
      </c>
      <c r="B150" s="15" t="s">
        <v>1267</v>
      </c>
      <c r="C150" s="15" t="s">
        <v>472</v>
      </c>
      <c r="D150" s="15">
        <v>9878058375</v>
      </c>
      <c r="E150" s="15" t="s">
        <v>1268</v>
      </c>
      <c r="F150" s="15" t="s">
        <v>1269</v>
      </c>
      <c r="G150" s="15" t="s">
        <v>1270</v>
      </c>
      <c r="H150" s="15"/>
    </row>
    <row r="151" spans="1:8" x14ac:dyDescent="0.25">
      <c r="A151" s="15" t="s">
        <v>301</v>
      </c>
      <c r="B151" s="15" t="s">
        <v>1271</v>
      </c>
      <c r="C151" s="15" t="s">
        <v>1272</v>
      </c>
      <c r="D151" s="15">
        <v>9128886392</v>
      </c>
      <c r="E151" s="15" t="s">
        <v>1273</v>
      </c>
      <c r="F151" s="15" t="s">
        <v>1274</v>
      </c>
      <c r="G151" s="15" t="s">
        <v>1275</v>
      </c>
      <c r="H151" s="15"/>
    </row>
    <row r="152" spans="1:8" x14ac:dyDescent="0.25">
      <c r="A152" s="15" t="s">
        <v>303</v>
      </c>
      <c r="B152" s="15" t="s">
        <v>1276</v>
      </c>
      <c r="C152" s="15" t="s">
        <v>275</v>
      </c>
      <c r="D152" s="15">
        <v>9791000889</v>
      </c>
      <c r="E152" s="15" t="s">
        <v>388</v>
      </c>
      <c r="F152" s="15" t="s">
        <v>1277</v>
      </c>
      <c r="G152" s="15" t="s">
        <v>1278</v>
      </c>
      <c r="H152" s="15"/>
    </row>
    <row r="153" spans="1:8" x14ac:dyDescent="0.25">
      <c r="A153" s="15" t="s">
        <v>304</v>
      </c>
      <c r="B153" s="15" t="s">
        <v>1279</v>
      </c>
      <c r="C153" s="15" t="s">
        <v>1280</v>
      </c>
      <c r="D153" s="15">
        <v>9911504608</v>
      </c>
      <c r="E153" s="15" t="s">
        <v>1281</v>
      </c>
      <c r="F153" s="15" t="s">
        <v>1282</v>
      </c>
      <c r="G153" s="15" t="s">
        <v>1283</v>
      </c>
      <c r="H153" s="15"/>
    </row>
    <row r="154" spans="1:8" x14ac:dyDescent="0.25">
      <c r="A154" s="15" t="s">
        <v>305</v>
      </c>
      <c r="B154" s="15" t="s">
        <v>1284</v>
      </c>
      <c r="C154" s="15" t="s">
        <v>128</v>
      </c>
      <c r="D154" s="15">
        <v>9971898776</v>
      </c>
      <c r="E154" s="15" t="s">
        <v>1285</v>
      </c>
      <c r="F154" s="15" t="s">
        <v>1286</v>
      </c>
      <c r="G154" s="15" t="s">
        <v>1287</v>
      </c>
      <c r="H154" s="15"/>
    </row>
    <row r="155" spans="1:8" x14ac:dyDescent="0.25">
      <c r="A155" s="15" t="s">
        <v>306</v>
      </c>
      <c r="B155" s="15" t="s">
        <v>1288</v>
      </c>
      <c r="C155" s="15" t="s">
        <v>425</v>
      </c>
      <c r="D155" s="15">
        <v>9461331100</v>
      </c>
      <c r="E155" s="15" t="s">
        <v>1289</v>
      </c>
      <c r="F155" s="15" t="s">
        <v>76</v>
      </c>
      <c r="G155" s="15" t="s">
        <v>1290</v>
      </c>
      <c r="H155" s="15"/>
    </row>
    <row r="156" spans="1:8" x14ac:dyDescent="0.25">
      <c r="A156" s="15" t="s">
        <v>307</v>
      </c>
      <c r="B156" s="15" t="s">
        <v>1291</v>
      </c>
      <c r="C156" s="15" t="s">
        <v>172</v>
      </c>
      <c r="D156" s="15">
        <v>9746401565</v>
      </c>
      <c r="E156" s="15" t="s">
        <v>1292</v>
      </c>
      <c r="F156" s="15" t="s">
        <v>1293</v>
      </c>
      <c r="G156" s="15" t="s">
        <v>1294</v>
      </c>
      <c r="H156" s="15"/>
    </row>
    <row r="157" spans="1:8" x14ac:dyDescent="0.25">
      <c r="A157" s="15" t="s">
        <v>308</v>
      </c>
      <c r="B157" s="15" t="s">
        <v>1295</v>
      </c>
      <c r="C157" s="15" t="s">
        <v>289</v>
      </c>
      <c r="D157" s="15">
        <v>9603522284</v>
      </c>
      <c r="E157" s="15" t="s">
        <v>1296</v>
      </c>
      <c r="F157" s="15" t="s">
        <v>1297</v>
      </c>
      <c r="G157" s="15" t="s">
        <v>1298</v>
      </c>
      <c r="H157" s="15"/>
    </row>
    <row r="158" spans="1:8" x14ac:dyDescent="0.25">
      <c r="A158" s="15" t="s">
        <v>310</v>
      </c>
      <c r="B158" s="15" t="s">
        <v>1299</v>
      </c>
      <c r="C158" s="15" t="s">
        <v>604</v>
      </c>
      <c r="D158" s="15">
        <v>9316933609</v>
      </c>
      <c r="E158" s="15" t="s">
        <v>1300</v>
      </c>
      <c r="F158" s="15" t="s">
        <v>1301</v>
      </c>
      <c r="G158" s="15" t="s">
        <v>1302</v>
      </c>
      <c r="H158" s="15"/>
    </row>
    <row r="159" spans="1:8" x14ac:dyDescent="0.25">
      <c r="A159" s="15" t="s">
        <v>311</v>
      </c>
      <c r="B159" s="15" t="s">
        <v>1303</v>
      </c>
      <c r="C159" s="15" t="s">
        <v>1006</v>
      </c>
      <c r="D159" s="15">
        <v>9986201964</v>
      </c>
      <c r="E159" s="15" t="s">
        <v>1304</v>
      </c>
      <c r="F159" s="15" t="s">
        <v>1305</v>
      </c>
      <c r="G159" s="15" t="s">
        <v>1306</v>
      </c>
      <c r="H159" s="15"/>
    </row>
    <row r="160" spans="1:8" x14ac:dyDescent="0.25">
      <c r="A160" s="15" t="s">
        <v>312</v>
      </c>
      <c r="B160" s="15" t="s">
        <v>460</v>
      </c>
      <c r="C160" s="15" t="s">
        <v>840</v>
      </c>
      <c r="D160" s="15">
        <v>9635062306</v>
      </c>
      <c r="E160" s="15" t="s">
        <v>1307</v>
      </c>
      <c r="F160" s="15" t="s">
        <v>1308</v>
      </c>
      <c r="G160" s="15" t="s">
        <v>1309</v>
      </c>
      <c r="H160" s="15"/>
    </row>
    <row r="161" spans="1:8" x14ac:dyDescent="0.25">
      <c r="A161" s="15" t="s">
        <v>313</v>
      </c>
      <c r="B161" s="15" t="s">
        <v>1310</v>
      </c>
      <c r="C161" s="15" t="s">
        <v>1311</v>
      </c>
      <c r="D161" s="15">
        <v>9530860990</v>
      </c>
      <c r="E161" s="15" t="s">
        <v>1312</v>
      </c>
      <c r="F161" s="15" t="s">
        <v>1313</v>
      </c>
      <c r="G161" s="15" t="s">
        <v>1314</v>
      </c>
      <c r="H161" s="15"/>
    </row>
    <row r="162" spans="1:8" x14ac:dyDescent="0.25">
      <c r="A162" s="15" t="s">
        <v>315</v>
      </c>
      <c r="B162" s="15" t="s">
        <v>1315</v>
      </c>
      <c r="C162" s="15" t="s">
        <v>455</v>
      </c>
      <c r="D162" s="15">
        <v>9685121614</v>
      </c>
      <c r="E162" s="15" t="s">
        <v>456</v>
      </c>
      <c r="F162" s="15" t="s">
        <v>1316</v>
      </c>
      <c r="G162" s="15" t="s">
        <v>1317</v>
      </c>
      <c r="H162" s="15"/>
    </row>
    <row r="163" spans="1:8" x14ac:dyDescent="0.25">
      <c r="A163" s="15" t="s">
        <v>316</v>
      </c>
      <c r="B163" s="15" t="s">
        <v>1318</v>
      </c>
      <c r="C163" s="15" t="s">
        <v>226</v>
      </c>
      <c r="D163" s="15">
        <v>9450748727</v>
      </c>
      <c r="E163" s="15" t="s">
        <v>1319</v>
      </c>
      <c r="F163" s="15" t="s">
        <v>1320</v>
      </c>
      <c r="G163" s="15" t="s">
        <v>1321</v>
      </c>
      <c r="H163" s="15"/>
    </row>
    <row r="164" spans="1:8" x14ac:dyDescent="0.25">
      <c r="A164" s="15" t="s">
        <v>319</v>
      </c>
      <c r="B164" s="15" t="s">
        <v>1322</v>
      </c>
      <c r="C164" s="15" t="s">
        <v>99</v>
      </c>
      <c r="D164" s="15">
        <v>9235352720</v>
      </c>
      <c r="E164" s="15" t="s">
        <v>1323</v>
      </c>
      <c r="F164" s="15" t="s">
        <v>1324</v>
      </c>
      <c r="G164" s="15" t="s">
        <v>1325</v>
      </c>
      <c r="H164" s="15"/>
    </row>
    <row r="165" spans="1:8" x14ac:dyDescent="0.25">
      <c r="A165" s="15" t="s">
        <v>320</v>
      </c>
      <c r="B165" s="15" t="s">
        <v>1326</v>
      </c>
      <c r="C165" s="15" t="s">
        <v>1327</v>
      </c>
      <c r="D165" s="15">
        <v>9365838109</v>
      </c>
      <c r="E165" s="15" t="s">
        <v>1328</v>
      </c>
      <c r="F165" s="15" t="s">
        <v>1329</v>
      </c>
      <c r="G165" s="15" t="s">
        <v>1330</v>
      </c>
      <c r="H165" s="15"/>
    </row>
    <row r="166" spans="1:8" x14ac:dyDescent="0.25">
      <c r="A166" s="15" t="s">
        <v>321</v>
      </c>
      <c r="B166" s="15" t="s">
        <v>1331</v>
      </c>
      <c r="C166" s="15" t="s">
        <v>82</v>
      </c>
      <c r="D166" s="15">
        <v>9209313973</v>
      </c>
      <c r="E166" s="15" t="s">
        <v>1332</v>
      </c>
      <c r="F166" s="15" t="s">
        <v>1333</v>
      </c>
      <c r="G166" s="15" t="s">
        <v>1334</v>
      </c>
      <c r="H166" s="15"/>
    </row>
    <row r="167" spans="1:8" x14ac:dyDescent="0.25">
      <c r="A167" s="15" t="s">
        <v>322</v>
      </c>
      <c r="B167" s="15" t="s">
        <v>1335</v>
      </c>
      <c r="C167" s="15" t="s">
        <v>1336</v>
      </c>
      <c r="D167" s="15">
        <v>9566995021</v>
      </c>
      <c r="E167" s="15" t="s">
        <v>1337</v>
      </c>
      <c r="F167" s="15" t="s">
        <v>1338</v>
      </c>
      <c r="G167" s="15" t="s">
        <v>1339</v>
      </c>
      <c r="H167" s="15"/>
    </row>
    <row r="168" spans="1:8" x14ac:dyDescent="0.25">
      <c r="A168" s="15" t="s">
        <v>323</v>
      </c>
      <c r="B168" s="15" t="s">
        <v>1340</v>
      </c>
      <c r="C168" s="15" t="s">
        <v>128</v>
      </c>
      <c r="D168" s="15">
        <v>9528445671</v>
      </c>
      <c r="E168" s="15" t="s">
        <v>1285</v>
      </c>
      <c r="F168" s="15" t="s">
        <v>1341</v>
      </c>
      <c r="G168" s="15" t="s">
        <v>1342</v>
      </c>
      <c r="H168" s="15"/>
    </row>
    <row r="169" spans="1:8" x14ac:dyDescent="0.25">
      <c r="A169" s="15" t="s">
        <v>325</v>
      </c>
      <c r="B169" s="15" t="s">
        <v>1343</v>
      </c>
      <c r="C169" s="15" t="s">
        <v>400</v>
      </c>
      <c r="D169" s="15">
        <v>9892679582</v>
      </c>
      <c r="E169" s="15" t="s">
        <v>1344</v>
      </c>
      <c r="F169" s="15" t="s">
        <v>1345</v>
      </c>
      <c r="G169" s="15" t="s">
        <v>1346</v>
      </c>
      <c r="H169" s="15"/>
    </row>
    <row r="170" spans="1:8" x14ac:dyDescent="0.25">
      <c r="A170" s="15" t="s">
        <v>326</v>
      </c>
      <c r="B170" s="15" t="s">
        <v>1347</v>
      </c>
      <c r="C170" s="15" t="s">
        <v>1348</v>
      </c>
      <c r="D170" s="15">
        <v>9788847066</v>
      </c>
      <c r="E170" s="15" t="s">
        <v>1349</v>
      </c>
      <c r="F170" s="15" t="s">
        <v>1350</v>
      </c>
      <c r="G170" s="15" t="s">
        <v>1351</v>
      </c>
      <c r="H170" s="15"/>
    </row>
    <row r="171" spans="1:8" x14ac:dyDescent="0.25">
      <c r="A171" s="15" t="s">
        <v>327</v>
      </c>
      <c r="B171" s="15" t="s">
        <v>1352</v>
      </c>
      <c r="C171" s="15" t="s">
        <v>346</v>
      </c>
      <c r="D171" s="15">
        <v>9865186539</v>
      </c>
      <c r="E171" s="15" t="s">
        <v>1353</v>
      </c>
      <c r="F171" s="15" t="s">
        <v>1354</v>
      </c>
      <c r="G171" s="15" t="s">
        <v>1355</v>
      </c>
      <c r="H171" s="15"/>
    </row>
    <row r="172" spans="1:8" x14ac:dyDescent="0.25">
      <c r="A172" s="15" t="s">
        <v>328</v>
      </c>
      <c r="B172" s="15" t="s">
        <v>1356</v>
      </c>
      <c r="C172" s="15" t="s">
        <v>314</v>
      </c>
      <c r="D172" s="15">
        <v>9809854171</v>
      </c>
      <c r="E172" s="15" t="s">
        <v>1357</v>
      </c>
      <c r="F172" s="15" t="s">
        <v>1358</v>
      </c>
      <c r="G172" s="15" t="s">
        <v>1359</v>
      </c>
      <c r="H172" s="15"/>
    </row>
    <row r="173" spans="1:8" x14ac:dyDescent="0.25">
      <c r="A173" s="15" t="s">
        <v>329</v>
      </c>
      <c r="B173" s="15" t="s">
        <v>1360</v>
      </c>
      <c r="C173" s="15" t="s">
        <v>261</v>
      </c>
      <c r="D173" s="15">
        <v>9333948467</v>
      </c>
      <c r="E173" s="15" t="s">
        <v>1361</v>
      </c>
      <c r="F173" s="15" t="s">
        <v>1362</v>
      </c>
      <c r="G173" s="15" t="s">
        <v>1363</v>
      </c>
      <c r="H173" s="15"/>
    </row>
    <row r="174" spans="1:8" x14ac:dyDescent="0.25">
      <c r="A174" s="15" t="s">
        <v>330</v>
      </c>
      <c r="B174" s="15" t="s">
        <v>1364</v>
      </c>
      <c r="C174" s="15" t="s">
        <v>443</v>
      </c>
      <c r="D174" s="15">
        <v>9870190817</v>
      </c>
      <c r="E174" s="15" t="s">
        <v>1365</v>
      </c>
      <c r="F174" s="15" t="s">
        <v>1366</v>
      </c>
      <c r="G174" s="15" t="s">
        <v>1367</v>
      </c>
      <c r="H174" s="15"/>
    </row>
    <row r="175" spans="1:8" x14ac:dyDescent="0.25">
      <c r="A175" s="15" t="s">
        <v>331</v>
      </c>
      <c r="B175" s="15" t="s">
        <v>1368</v>
      </c>
      <c r="C175" s="15" t="s">
        <v>126</v>
      </c>
      <c r="D175" s="15">
        <v>9297356578</v>
      </c>
      <c r="E175" s="15" t="s">
        <v>1369</v>
      </c>
      <c r="F175" s="15" t="s">
        <v>1370</v>
      </c>
      <c r="G175" s="15" t="s">
        <v>1371</v>
      </c>
      <c r="H175" s="15"/>
    </row>
    <row r="176" spans="1:8" x14ac:dyDescent="0.25">
      <c r="A176" s="15" t="s">
        <v>332</v>
      </c>
      <c r="B176" s="15" t="s">
        <v>1372</v>
      </c>
      <c r="C176" s="15" t="s">
        <v>1373</v>
      </c>
      <c r="D176" s="15">
        <v>9114289723</v>
      </c>
      <c r="E176" s="15" t="s">
        <v>1374</v>
      </c>
      <c r="F176" s="15" t="s">
        <v>1375</v>
      </c>
      <c r="G176" s="15" t="s">
        <v>1376</v>
      </c>
      <c r="H176" s="15"/>
    </row>
    <row r="177" spans="1:8" x14ac:dyDescent="0.25">
      <c r="A177" s="15" t="s">
        <v>333</v>
      </c>
      <c r="B177" s="15" t="s">
        <v>1377</v>
      </c>
      <c r="C177" s="15" t="s">
        <v>402</v>
      </c>
      <c r="D177" s="15">
        <v>9530009646</v>
      </c>
      <c r="E177" s="15" t="s">
        <v>1378</v>
      </c>
      <c r="F177" s="15" t="s">
        <v>1379</v>
      </c>
      <c r="G177" s="15" t="s">
        <v>1380</v>
      </c>
      <c r="H177" s="15"/>
    </row>
    <row r="178" spans="1:8" x14ac:dyDescent="0.25">
      <c r="A178" s="15" t="s">
        <v>334</v>
      </c>
      <c r="B178" s="15" t="s">
        <v>1381</v>
      </c>
      <c r="C178" s="15" t="s">
        <v>881</v>
      </c>
      <c r="D178" s="15">
        <v>9603755235</v>
      </c>
      <c r="E178" s="15" t="s">
        <v>1382</v>
      </c>
      <c r="F178" s="15" t="s">
        <v>1383</v>
      </c>
      <c r="G178" s="15" t="s">
        <v>1384</v>
      </c>
      <c r="H178" s="15"/>
    </row>
    <row r="179" spans="1:8" x14ac:dyDescent="0.25">
      <c r="A179" s="15" t="s">
        <v>336</v>
      </c>
      <c r="B179" s="15" t="s">
        <v>1385</v>
      </c>
      <c r="C179" s="15" t="s">
        <v>317</v>
      </c>
      <c r="D179" s="15">
        <v>9234396054</v>
      </c>
      <c r="E179" s="15" t="s">
        <v>468</v>
      </c>
      <c r="F179" s="15" t="s">
        <v>1386</v>
      </c>
      <c r="G179" s="15" t="s">
        <v>1387</v>
      </c>
      <c r="H179" s="15"/>
    </row>
    <row r="180" spans="1:8" x14ac:dyDescent="0.25">
      <c r="A180" s="15" t="s">
        <v>338</v>
      </c>
      <c r="B180" s="15" t="s">
        <v>1388</v>
      </c>
      <c r="C180" s="15" t="s">
        <v>580</v>
      </c>
      <c r="D180" s="15">
        <v>9964830932</v>
      </c>
      <c r="E180" s="15" t="s">
        <v>581</v>
      </c>
      <c r="F180" s="15" t="s">
        <v>1389</v>
      </c>
      <c r="G180" s="15" t="s">
        <v>1390</v>
      </c>
      <c r="H180" s="15"/>
    </row>
    <row r="181" spans="1:8" x14ac:dyDescent="0.25">
      <c r="A181" s="15" t="s">
        <v>339</v>
      </c>
      <c r="B181" s="15" t="s">
        <v>1391</v>
      </c>
      <c r="C181" s="15" t="s">
        <v>80</v>
      </c>
      <c r="D181" s="15">
        <v>9769331925</v>
      </c>
      <c r="E181" s="15" t="s">
        <v>1392</v>
      </c>
      <c r="F181" s="15" t="s">
        <v>1393</v>
      </c>
      <c r="G181" s="15" t="s">
        <v>1394</v>
      </c>
      <c r="H181" s="15"/>
    </row>
    <row r="182" spans="1:8" x14ac:dyDescent="0.25">
      <c r="A182" s="15" t="s">
        <v>340</v>
      </c>
      <c r="B182" s="15" t="s">
        <v>1395</v>
      </c>
      <c r="C182" s="15" t="s">
        <v>1396</v>
      </c>
      <c r="D182" s="15">
        <v>9448644916</v>
      </c>
      <c r="E182" s="15" t="s">
        <v>1397</v>
      </c>
      <c r="F182" s="15" t="s">
        <v>1398</v>
      </c>
      <c r="G182" s="15" t="s">
        <v>1399</v>
      </c>
      <c r="H182" s="15"/>
    </row>
    <row r="183" spans="1:8" x14ac:dyDescent="0.25">
      <c r="A183" s="15" t="s">
        <v>342</v>
      </c>
      <c r="B183" s="15" t="s">
        <v>1400</v>
      </c>
      <c r="C183" s="15" t="s">
        <v>400</v>
      </c>
      <c r="D183" s="15">
        <v>9208997614</v>
      </c>
      <c r="E183" s="15" t="s">
        <v>1401</v>
      </c>
      <c r="F183" s="15" t="s">
        <v>1402</v>
      </c>
      <c r="G183" s="15" t="s">
        <v>1403</v>
      </c>
      <c r="H183" s="15"/>
    </row>
    <row r="184" spans="1:8" x14ac:dyDescent="0.25">
      <c r="A184" s="15" t="s">
        <v>343</v>
      </c>
      <c r="B184" s="15" t="s">
        <v>1404</v>
      </c>
      <c r="C184" s="15" t="s">
        <v>489</v>
      </c>
      <c r="D184" s="15">
        <v>9673938333</v>
      </c>
      <c r="E184" s="15" t="s">
        <v>1405</v>
      </c>
      <c r="F184" s="15" t="s">
        <v>1406</v>
      </c>
      <c r="G184" s="15" t="s">
        <v>1407</v>
      </c>
      <c r="H184" s="15"/>
    </row>
    <row r="185" spans="1:8" x14ac:dyDescent="0.25">
      <c r="A185" s="15" t="s">
        <v>344</v>
      </c>
      <c r="B185" s="15" t="s">
        <v>1408</v>
      </c>
      <c r="C185" s="15" t="s">
        <v>1409</v>
      </c>
      <c r="D185" s="15">
        <v>9896621877</v>
      </c>
      <c r="E185" s="15" t="s">
        <v>1410</v>
      </c>
      <c r="F185" s="15" t="s">
        <v>1411</v>
      </c>
      <c r="G185" s="15" t="s">
        <v>1412</v>
      </c>
      <c r="H185" s="15"/>
    </row>
    <row r="186" spans="1:8" x14ac:dyDescent="0.25">
      <c r="A186" s="15" t="s">
        <v>345</v>
      </c>
      <c r="B186" s="15" t="s">
        <v>1413</v>
      </c>
      <c r="C186" s="15" t="s">
        <v>309</v>
      </c>
      <c r="D186" s="15">
        <v>9698292249</v>
      </c>
      <c r="E186" s="15" t="s">
        <v>1414</v>
      </c>
      <c r="F186" s="15" t="s">
        <v>1415</v>
      </c>
      <c r="G186" s="15" t="s">
        <v>1416</v>
      </c>
      <c r="H186" s="15"/>
    </row>
    <row r="187" spans="1:8" x14ac:dyDescent="0.25">
      <c r="A187" s="15" t="s">
        <v>347</v>
      </c>
      <c r="B187" s="15" t="s">
        <v>1417</v>
      </c>
      <c r="C187" s="15" t="s">
        <v>158</v>
      </c>
      <c r="D187" s="15">
        <v>9888759065</v>
      </c>
      <c r="E187" s="15" t="s">
        <v>1418</v>
      </c>
      <c r="F187" s="15" t="s">
        <v>1419</v>
      </c>
      <c r="G187" s="15" t="s">
        <v>1420</v>
      </c>
      <c r="H187" s="15"/>
    </row>
    <row r="188" spans="1:8" x14ac:dyDescent="0.25">
      <c r="A188" s="15" t="s">
        <v>349</v>
      </c>
      <c r="B188" s="15" t="s">
        <v>1421</v>
      </c>
      <c r="C188" s="15" t="s">
        <v>121</v>
      </c>
      <c r="D188" s="15">
        <v>9557214448</v>
      </c>
      <c r="E188" s="15" t="s">
        <v>1422</v>
      </c>
      <c r="F188" s="15" t="s">
        <v>1423</v>
      </c>
      <c r="G188" s="15" t="s">
        <v>1424</v>
      </c>
      <c r="H188" s="15"/>
    </row>
    <row r="189" spans="1:8" x14ac:dyDescent="0.25">
      <c r="A189" s="15" t="s">
        <v>350</v>
      </c>
      <c r="B189" s="15" t="s">
        <v>1425</v>
      </c>
      <c r="C189" s="15" t="s">
        <v>309</v>
      </c>
      <c r="D189" s="15">
        <v>9913006991</v>
      </c>
      <c r="E189" s="15" t="s">
        <v>1426</v>
      </c>
      <c r="F189" s="15" t="s">
        <v>1427</v>
      </c>
      <c r="G189" s="15" t="s">
        <v>1428</v>
      </c>
      <c r="H189" s="15"/>
    </row>
    <row r="190" spans="1:8" x14ac:dyDescent="0.25">
      <c r="A190" s="15" t="s">
        <v>351</v>
      </c>
      <c r="B190" s="15" t="s">
        <v>1429</v>
      </c>
      <c r="C190" s="15" t="s">
        <v>1430</v>
      </c>
      <c r="D190" s="15">
        <v>9935933768</v>
      </c>
      <c r="E190" s="15" t="s">
        <v>1431</v>
      </c>
      <c r="F190" s="15" t="s">
        <v>1432</v>
      </c>
      <c r="G190" s="15" t="s">
        <v>1433</v>
      </c>
      <c r="H190" s="15"/>
    </row>
    <row r="191" spans="1:8" x14ac:dyDescent="0.25">
      <c r="A191" s="15" t="s">
        <v>352</v>
      </c>
      <c r="B191" s="15" t="s">
        <v>1434</v>
      </c>
      <c r="C191" s="15" t="s">
        <v>286</v>
      </c>
      <c r="D191" s="15">
        <v>9987689060</v>
      </c>
      <c r="E191" s="15" t="s">
        <v>1435</v>
      </c>
      <c r="F191" s="15" t="s">
        <v>1436</v>
      </c>
      <c r="G191" s="15" t="s">
        <v>1437</v>
      </c>
      <c r="H191" s="15"/>
    </row>
    <row r="192" spans="1:8" x14ac:dyDescent="0.25">
      <c r="A192" s="15" t="s">
        <v>353</v>
      </c>
      <c r="B192" s="15" t="s">
        <v>1438</v>
      </c>
      <c r="C192" s="15" t="s">
        <v>118</v>
      </c>
      <c r="D192" s="15">
        <v>9318540283</v>
      </c>
      <c r="E192" s="15" t="s">
        <v>119</v>
      </c>
      <c r="F192" s="15" t="s">
        <v>1439</v>
      </c>
      <c r="G192" s="15" t="s">
        <v>1440</v>
      </c>
      <c r="H192" s="15"/>
    </row>
    <row r="193" spans="1:8" x14ac:dyDescent="0.25">
      <c r="A193" s="15" t="s">
        <v>355</v>
      </c>
      <c r="B193" s="15" t="s">
        <v>1441</v>
      </c>
      <c r="C193" s="15" t="s">
        <v>324</v>
      </c>
      <c r="D193" s="15">
        <v>9781633740</v>
      </c>
      <c r="E193" s="15" t="s">
        <v>1442</v>
      </c>
      <c r="F193" s="15" t="s">
        <v>1443</v>
      </c>
      <c r="G193" s="15" t="s">
        <v>1444</v>
      </c>
      <c r="H193" s="15"/>
    </row>
    <row r="194" spans="1:8" x14ac:dyDescent="0.25">
      <c r="A194" s="15" t="s">
        <v>356</v>
      </c>
      <c r="B194" s="15" t="s">
        <v>1445</v>
      </c>
      <c r="C194" s="15" t="s">
        <v>216</v>
      </c>
      <c r="D194" s="15">
        <v>9216501538</v>
      </c>
      <c r="E194" s="15" t="s">
        <v>1446</v>
      </c>
      <c r="F194" s="15" t="s">
        <v>1447</v>
      </c>
      <c r="G194" s="15" t="s">
        <v>1448</v>
      </c>
      <c r="H194" s="15"/>
    </row>
    <row r="195" spans="1:8" x14ac:dyDescent="0.25">
      <c r="A195" s="15" t="s">
        <v>357</v>
      </c>
      <c r="B195" s="15" t="s">
        <v>1449</v>
      </c>
      <c r="C195" s="15" t="s">
        <v>1450</v>
      </c>
      <c r="D195" s="15">
        <v>9762175666</v>
      </c>
      <c r="E195" s="15" t="s">
        <v>1451</v>
      </c>
      <c r="F195" s="15" t="s">
        <v>1452</v>
      </c>
      <c r="G195" s="15" t="s">
        <v>1453</v>
      </c>
      <c r="H195" s="15"/>
    </row>
    <row r="196" spans="1:8" x14ac:dyDescent="0.25">
      <c r="A196" s="15" t="s">
        <v>358</v>
      </c>
      <c r="B196" s="15" t="s">
        <v>1454</v>
      </c>
      <c r="C196" s="15" t="s">
        <v>409</v>
      </c>
      <c r="D196" s="15">
        <v>9294667415</v>
      </c>
      <c r="E196" s="15" t="s">
        <v>1455</v>
      </c>
      <c r="F196" s="15" t="s">
        <v>1456</v>
      </c>
      <c r="G196" s="15" t="s">
        <v>1457</v>
      </c>
      <c r="H196" s="15"/>
    </row>
    <row r="197" spans="1:8" x14ac:dyDescent="0.25">
      <c r="A197" s="15" t="s">
        <v>359</v>
      </c>
      <c r="B197" s="15" t="s">
        <v>1458</v>
      </c>
      <c r="C197" s="15" t="s">
        <v>1459</v>
      </c>
      <c r="D197" s="15">
        <v>9424313389</v>
      </c>
      <c r="E197" s="15" t="s">
        <v>1460</v>
      </c>
      <c r="F197" s="15" t="s">
        <v>1461</v>
      </c>
      <c r="G197" s="15" t="s">
        <v>1462</v>
      </c>
      <c r="H197" s="15"/>
    </row>
    <row r="198" spans="1:8" x14ac:dyDescent="0.25">
      <c r="A198" s="15" t="s">
        <v>361</v>
      </c>
      <c r="B198" s="15" t="s">
        <v>1463</v>
      </c>
      <c r="C198" s="15" t="s">
        <v>335</v>
      </c>
      <c r="D198" s="15">
        <v>9660658619</v>
      </c>
      <c r="E198" s="15" t="s">
        <v>1464</v>
      </c>
      <c r="F198" s="15" t="s">
        <v>1465</v>
      </c>
      <c r="G198" s="15" t="s">
        <v>1466</v>
      </c>
      <c r="H198" s="15"/>
    </row>
    <row r="199" spans="1:8" x14ac:dyDescent="0.25">
      <c r="A199" s="15" t="s">
        <v>362</v>
      </c>
      <c r="B199" s="15" t="s">
        <v>1467</v>
      </c>
      <c r="C199" s="15" t="s">
        <v>1468</v>
      </c>
      <c r="D199" s="15">
        <v>9515691458</v>
      </c>
      <c r="E199" s="15" t="s">
        <v>1469</v>
      </c>
      <c r="F199" s="15" t="s">
        <v>1470</v>
      </c>
      <c r="G199" s="15" t="s">
        <v>1471</v>
      </c>
      <c r="H199" s="15"/>
    </row>
    <row r="200" spans="1:8" x14ac:dyDescent="0.25">
      <c r="A200" s="15" t="s">
        <v>363</v>
      </c>
      <c r="B200" s="15" t="s">
        <v>1472</v>
      </c>
      <c r="C200" s="15" t="s">
        <v>1473</v>
      </c>
      <c r="D200" s="15">
        <v>9327930606</v>
      </c>
      <c r="E200" s="15" t="s">
        <v>1474</v>
      </c>
      <c r="F200" s="15" t="s">
        <v>1452</v>
      </c>
      <c r="G200" s="15" t="s">
        <v>1475</v>
      </c>
      <c r="H200" s="15"/>
    </row>
    <row r="201" spans="1:8" x14ac:dyDescent="0.25">
      <c r="A201" s="15" t="s">
        <v>364</v>
      </c>
      <c r="B201" s="15" t="s">
        <v>1476</v>
      </c>
      <c r="C201" s="15" t="s">
        <v>1477</v>
      </c>
      <c r="D201" s="15">
        <v>9230295852</v>
      </c>
      <c r="E201" s="15" t="s">
        <v>1478</v>
      </c>
      <c r="F201" s="15" t="s">
        <v>1479</v>
      </c>
      <c r="G201" s="15" t="s">
        <v>1480</v>
      </c>
      <c r="H201" s="15"/>
    </row>
    <row r="202" spans="1:8" x14ac:dyDescent="0.25">
      <c r="A202" s="15" t="s">
        <v>365</v>
      </c>
      <c r="B202" s="15" t="s">
        <v>1481</v>
      </c>
      <c r="C202" s="15" t="s">
        <v>174</v>
      </c>
      <c r="D202" s="15">
        <v>9931100953</v>
      </c>
      <c r="E202" s="15" t="s">
        <v>175</v>
      </c>
      <c r="F202" s="15" t="s">
        <v>1482</v>
      </c>
      <c r="G202" s="15" t="s">
        <v>1483</v>
      </c>
      <c r="H202" s="15"/>
    </row>
    <row r="203" spans="1:8" x14ac:dyDescent="0.25">
      <c r="A203" s="15" t="s">
        <v>366</v>
      </c>
      <c r="B203" s="15" t="s">
        <v>1484</v>
      </c>
      <c r="C203" s="15" t="s">
        <v>1485</v>
      </c>
      <c r="D203" s="15">
        <v>9372784714</v>
      </c>
      <c r="E203" s="15" t="s">
        <v>1486</v>
      </c>
      <c r="F203" s="15" t="s">
        <v>1487</v>
      </c>
      <c r="G203" s="15" t="s">
        <v>1488</v>
      </c>
      <c r="H203" s="15"/>
    </row>
    <row r="204" spans="1:8" x14ac:dyDescent="0.25">
      <c r="A204" s="15" t="s">
        <v>367</v>
      </c>
      <c r="B204" s="15" t="s">
        <v>1489</v>
      </c>
      <c r="C204" s="15" t="s">
        <v>216</v>
      </c>
      <c r="D204" s="15">
        <v>9435538744</v>
      </c>
      <c r="E204" s="15" t="s">
        <v>1490</v>
      </c>
      <c r="F204" s="15" t="s">
        <v>1491</v>
      </c>
      <c r="G204" s="15" t="s">
        <v>1492</v>
      </c>
      <c r="H204" s="15"/>
    </row>
    <row r="205" spans="1:8" x14ac:dyDescent="0.25">
      <c r="A205" s="15" t="s">
        <v>369</v>
      </c>
      <c r="B205" s="15" t="s">
        <v>1493</v>
      </c>
      <c r="C205" s="15" t="s">
        <v>510</v>
      </c>
      <c r="D205" s="15">
        <v>9571076034</v>
      </c>
      <c r="E205" s="15" t="s">
        <v>1494</v>
      </c>
      <c r="F205" s="15" t="s">
        <v>1495</v>
      </c>
      <c r="G205" s="15" t="s">
        <v>1496</v>
      </c>
      <c r="H205" s="15"/>
    </row>
    <row r="206" spans="1:8" x14ac:dyDescent="0.25">
      <c r="A206" s="15" t="s">
        <v>370</v>
      </c>
      <c r="B206" s="15" t="s">
        <v>1497</v>
      </c>
      <c r="C206" s="15" t="s">
        <v>1498</v>
      </c>
      <c r="D206" s="15">
        <v>9548786214</v>
      </c>
      <c r="E206" s="15" t="s">
        <v>1499</v>
      </c>
      <c r="F206" s="15" t="s">
        <v>1500</v>
      </c>
      <c r="G206" s="15" t="s">
        <v>1501</v>
      </c>
      <c r="H206" s="15"/>
    </row>
    <row r="207" spans="1:8" x14ac:dyDescent="0.25">
      <c r="A207" s="15" t="s">
        <v>371</v>
      </c>
      <c r="B207" s="15" t="s">
        <v>1502</v>
      </c>
      <c r="C207" s="15" t="s">
        <v>114</v>
      </c>
      <c r="D207" s="15">
        <v>9798949032</v>
      </c>
      <c r="E207" s="15" t="s">
        <v>1503</v>
      </c>
      <c r="F207" s="15" t="s">
        <v>1504</v>
      </c>
      <c r="G207" s="15" t="s">
        <v>1505</v>
      </c>
      <c r="H207" s="15"/>
    </row>
    <row r="208" spans="1:8" x14ac:dyDescent="0.25">
      <c r="A208" s="15" t="s">
        <v>374</v>
      </c>
      <c r="B208" s="15" t="s">
        <v>1506</v>
      </c>
      <c r="C208" s="15" t="s">
        <v>447</v>
      </c>
      <c r="D208" s="15">
        <v>9515921140</v>
      </c>
      <c r="E208" s="15" t="s">
        <v>1507</v>
      </c>
      <c r="F208" s="15" t="s">
        <v>1508</v>
      </c>
      <c r="G208" s="15" t="s">
        <v>1509</v>
      </c>
      <c r="H208" s="15"/>
    </row>
    <row r="209" spans="1:8" x14ac:dyDescent="0.25">
      <c r="A209" s="15" t="s">
        <v>375</v>
      </c>
      <c r="B209" s="15" t="s">
        <v>1510</v>
      </c>
      <c r="C209" s="15" t="s">
        <v>455</v>
      </c>
      <c r="D209" s="15">
        <v>9268878587</v>
      </c>
      <c r="E209" s="15" t="s">
        <v>1511</v>
      </c>
      <c r="F209" s="15" t="s">
        <v>1512</v>
      </c>
      <c r="G209" s="15" t="s">
        <v>1513</v>
      </c>
      <c r="H209" s="15"/>
    </row>
    <row r="210" spans="1:8" x14ac:dyDescent="0.25">
      <c r="A210" s="15" t="s">
        <v>376</v>
      </c>
      <c r="B210" s="15" t="s">
        <v>1514</v>
      </c>
      <c r="C210" s="15" t="s">
        <v>1229</v>
      </c>
      <c r="D210" s="15">
        <v>9636845087</v>
      </c>
      <c r="E210" s="15" t="s">
        <v>1515</v>
      </c>
      <c r="F210" s="15" t="s">
        <v>1516</v>
      </c>
      <c r="G210" s="15" t="s">
        <v>1517</v>
      </c>
      <c r="H210" s="15"/>
    </row>
    <row r="211" spans="1:8" x14ac:dyDescent="0.25">
      <c r="A211" s="15" t="s">
        <v>377</v>
      </c>
      <c r="B211" s="15" t="s">
        <v>1518</v>
      </c>
      <c r="C211" s="15" t="s">
        <v>1519</v>
      </c>
      <c r="D211" s="15">
        <v>9351290189</v>
      </c>
      <c r="E211" s="15" t="s">
        <v>1520</v>
      </c>
      <c r="F211" s="15" t="s">
        <v>1521</v>
      </c>
      <c r="G211" s="15" t="s">
        <v>1522</v>
      </c>
      <c r="H211" s="15"/>
    </row>
    <row r="212" spans="1:8" x14ac:dyDescent="0.25">
      <c r="A212" s="15" t="s">
        <v>379</v>
      </c>
      <c r="B212" s="15" t="s">
        <v>1523</v>
      </c>
      <c r="C212" s="15" t="s">
        <v>153</v>
      </c>
      <c r="D212" s="15">
        <v>9680423935</v>
      </c>
      <c r="E212" s="15" t="s">
        <v>154</v>
      </c>
      <c r="F212" s="15" t="s">
        <v>1524</v>
      </c>
      <c r="G212" s="15" t="s">
        <v>1525</v>
      </c>
      <c r="H212" s="15"/>
    </row>
    <row r="213" spans="1:8" x14ac:dyDescent="0.25">
      <c r="A213" s="15" t="s">
        <v>380</v>
      </c>
      <c r="B213" s="15" t="s">
        <v>1526</v>
      </c>
      <c r="C213" s="15" t="s">
        <v>112</v>
      </c>
      <c r="D213" s="15">
        <v>9994779137</v>
      </c>
      <c r="E213" s="15" t="s">
        <v>190</v>
      </c>
      <c r="F213" s="15" t="s">
        <v>1527</v>
      </c>
      <c r="G213" s="15" t="s">
        <v>1528</v>
      </c>
      <c r="H213" s="15"/>
    </row>
    <row r="214" spans="1:8" x14ac:dyDescent="0.25">
      <c r="A214" s="15" t="s">
        <v>381</v>
      </c>
      <c r="B214" s="15" t="s">
        <v>1529</v>
      </c>
      <c r="C214" s="15" t="s">
        <v>269</v>
      </c>
      <c r="D214" s="15">
        <v>9294017921</v>
      </c>
      <c r="E214" s="15" t="s">
        <v>1530</v>
      </c>
      <c r="F214" s="15" t="s">
        <v>1531</v>
      </c>
      <c r="G214" s="15" t="s">
        <v>1532</v>
      </c>
      <c r="H214" s="15"/>
    </row>
    <row r="215" spans="1:8" x14ac:dyDescent="0.25">
      <c r="A215" s="15" t="s">
        <v>383</v>
      </c>
      <c r="B215" s="15" t="s">
        <v>1533</v>
      </c>
      <c r="C215" s="15" t="s">
        <v>768</v>
      </c>
      <c r="D215" s="15">
        <v>9629643140</v>
      </c>
      <c r="E215" s="15" t="s">
        <v>1534</v>
      </c>
      <c r="F215" s="15" t="s">
        <v>1535</v>
      </c>
      <c r="G215" s="15" t="s">
        <v>1536</v>
      </c>
      <c r="H215" s="15"/>
    </row>
    <row r="216" spans="1:8" x14ac:dyDescent="0.25">
      <c r="A216" s="15" t="s">
        <v>386</v>
      </c>
      <c r="B216" s="15" t="s">
        <v>1537</v>
      </c>
      <c r="C216" s="15" t="s">
        <v>1538</v>
      </c>
      <c r="D216" s="15">
        <v>9470356811</v>
      </c>
      <c r="E216" s="15" t="s">
        <v>1539</v>
      </c>
      <c r="F216" s="15" t="s">
        <v>1540</v>
      </c>
      <c r="G216" s="15" t="s">
        <v>1541</v>
      </c>
      <c r="H216" s="15"/>
    </row>
    <row r="217" spans="1:8" x14ac:dyDescent="0.25">
      <c r="A217" s="15" t="s">
        <v>390</v>
      </c>
      <c r="B217" s="15" t="s">
        <v>152</v>
      </c>
      <c r="C217" s="15" t="s">
        <v>445</v>
      </c>
      <c r="D217" s="15">
        <v>9329333111</v>
      </c>
      <c r="E217" s="15" t="s">
        <v>1542</v>
      </c>
      <c r="F217" s="15" t="s">
        <v>1543</v>
      </c>
      <c r="G217" s="15" t="s">
        <v>1544</v>
      </c>
      <c r="H217" s="15"/>
    </row>
    <row r="218" spans="1:8" x14ac:dyDescent="0.25">
      <c r="A218" s="15" t="s">
        <v>391</v>
      </c>
      <c r="B218" s="15" t="s">
        <v>1545</v>
      </c>
      <c r="C218" s="15" t="s">
        <v>202</v>
      </c>
      <c r="D218" s="15">
        <v>9140663166</v>
      </c>
      <c r="E218" s="15" t="s">
        <v>1546</v>
      </c>
      <c r="F218" s="15" t="s">
        <v>1547</v>
      </c>
      <c r="G218" s="15" t="s">
        <v>1548</v>
      </c>
      <c r="H218" s="15"/>
    </row>
    <row r="219" spans="1:8" x14ac:dyDescent="0.25">
      <c r="A219" s="15" t="s">
        <v>392</v>
      </c>
      <c r="B219" s="15" t="s">
        <v>387</v>
      </c>
      <c r="C219" s="15" t="s">
        <v>384</v>
      </c>
      <c r="D219" s="15">
        <v>9857600380</v>
      </c>
      <c r="E219" s="15" t="s">
        <v>1549</v>
      </c>
      <c r="F219" s="15" t="s">
        <v>1550</v>
      </c>
      <c r="G219" s="15" t="s">
        <v>1551</v>
      </c>
      <c r="H219" s="15"/>
    </row>
    <row r="220" spans="1:8" x14ac:dyDescent="0.25">
      <c r="A220" s="15" t="s">
        <v>393</v>
      </c>
      <c r="B220" s="15" t="s">
        <v>1552</v>
      </c>
      <c r="C220" s="15" t="s">
        <v>99</v>
      </c>
      <c r="D220" s="15">
        <v>9787874420</v>
      </c>
      <c r="E220" s="15" t="s">
        <v>1553</v>
      </c>
      <c r="F220" s="15" t="s">
        <v>1554</v>
      </c>
      <c r="G220" s="15" t="s">
        <v>1555</v>
      </c>
      <c r="H220" s="15"/>
    </row>
    <row r="221" spans="1:8" x14ac:dyDescent="0.25">
      <c r="A221" s="15" t="s">
        <v>395</v>
      </c>
      <c r="B221" s="15" t="s">
        <v>1556</v>
      </c>
      <c r="C221" s="15" t="s">
        <v>394</v>
      </c>
      <c r="D221" s="15">
        <v>9338072039</v>
      </c>
      <c r="E221" s="15" t="s">
        <v>568</v>
      </c>
      <c r="F221" s="15" t="s">
        <v>1557</v>
      </c>
      <c r="G221" s="15" t="s">
        <v>1558</v>
      </c>
      <c r="H221" s="15"/>
    </row>
    <row r="222" spans="1:8" x14ac:dyDescent="0.25">
      <c r="A222" s="15" t="s">
        <v>396</v>
      </c>
      <c r="B222" s="15" t="s">
        <v>1559</v>
      </c>
      <c r="C222" s="15" t="s">
        <v>479</v>
      </c>
      <c r="D222" s="15">
        <v>9651188486</v>
      </c>
      <c r="E222" s="15" t="s">
        <v>1560</v>
      </c>
      <c r="F222" s="15" t="s">
        <v>1561</v>
      </c>
      <c r="G222" s="15" t="s">
        <v>1562</v>
      </c>
      <c r="H222" s="15"/>
    </row>
    <row r="223" spans="1:8" x14ac:dyDescent="0.25">
      <c r="A223" s="15" t="s">
        <v>398</v>
      </c>
      <c r="B223" s="15" t="s">
        <v>1563</v>
      </c>
      <c r="C223" s="15" t="s">
        <v>126</v>
      </c>
      <c r="D223" s="15">
        <v>9903398718</v>
      </c>
      <c r="E223" s="15" t="s">
        <v>1564</v>
      </c>
      <c r="F223" s="15" t="s">
        <v>1565</v>
      </c>
      <c r="G223" s="15" t="s">
        <v>1566</v>
      </c>
      <c r="H223" s="15"/>
    </row>
    <row r="224" spans="1:8" x14ac:dyDescent="0.25">
      <c r="A224" s="15" t="s">
        <v>399</v>
      </c>
      <c r="B224" s="15" t="s">
        <v>1567</v>
      </c>
      <c r="C224" s="15" t="s">
        <v>1170</v>
      </c>
      <c r="D224" s="15">
        <v>9502635095</v>
      </c>
      <c r="E224" s="15" t="s">
        <v>1568</v>
      </c>
      <c r="F224" s="15" t="s">
        <v>1569</v>
      </c>
      <c r="G224" s="15" t="s">
        <v>1570</v>
      </c>
      <c r="H224" s="15"/>
    </row>
    <row r="225" spans="1:8" x14ac:dyDescent="0.25">
      <c r="A225" s="15" t="s">
        <v>401</v>
      </c>
      <c r="B225" s="15" t="s">
        <v>1571</v>
      </c>
      <c r="C225" s="15" t="s">
        <v>1572</v>
      </c>
      <c r="D225" s="15">
        <v>9309491056</v>
      </c>
      <c r="E225" s="15" t="s">
        <v>1573</v>
      </c>
      <c r="F225" s="15" t="s">
        <v>1574</v>
      </c>
      <c r="G225" s="15" t="s">
        <v>1575</v>
      </c>
      <c r="H225" s="15"/>
    </row>
    <row r="226" spans="1:8" x14ac:dyDescent="0.25">
      <c r="A226" s="15" t="s">
        <v>403</v>
      </c>
      <c r="B226" s="15" t="s">
        <v>1576</v>
      </c>
      <c r="C226" s="15" t="s">
        <v>161</v>
      </c>
      <c r="D226" s="15">
        <v>9513475583</v>
      </c>
      <c r="E226" s="15" t="s">
        <v>1577</v>
      </c>
      <c r="F226" s="15" t="s">
        <v>1578</v>
      </c>
      <c r="G226" s="15" t="s">
        <v>1579</v>
      </c>
      <c r="H226" s="15"/>
    </row>
    <row r="227" spans="1:8" x14ac:dyDescent="0.25">
      <c r="A227" s="15" t="s">
        <v>404</v>
      </c>
      <c r="B227" s="15" t="s">
        <v>1580</v>
      </c>
      <c r="C227" s="15" t="s">
        <v>409</v>
      </c>
      <c r="D227" s="15">
        <v>9493023952</v>
      </c>
      <c r="E227" s="15" t="s">
        <v>1581</v>
      </c>
      <c r="F227" s="15" t="s">
        <v>1582</v>
      </c>
      <c r="G227" s="15" t="s">
        <v>1583</v>
      </c>
      <c r="H227" s="15"/>
    </row>
    <row r="228" spans="1:8" x14ac:dyDescent="0.25">
      <c r="A228" s="15" t="s">
        <v>406</v>
      </c>
      <c r="B228" s="15" t="s">
        <v>1584</v>
      </c>
      <c r="C228" s="15" t="s">
        <v>550</v>
      </c>
      <c r="D228" s="15">
        <v>9260408428</v>
      </c>
      <c r="E228" s="15" t="s">
        <v>1585</v>
      </c>
      <c r="F228" s="15" t="s">
        <v>1586</v>
      </c>
      <c r="G228" s="15" t="s">
        <v>1587</v>
      </c>
      <c r="H228" s="15"/>
    </row>
    <row r="229" spans="1:8" x14ac:dyDescent="0.25">
      <c r="A229" s="15" t="s">
        <v>407</v>
      </c>
      <c r="B229" s="15" t="s">
        <v>1588</v>
      </c>
      <c r="C229" s="15" t="s">
        <v>172</v>
      </c>
      <c r="D229" s="15">
        <v>9280171577</v>
      </c>
      <c r="E229" s="15" t="s">
        <v>508</v>
      </c>
      <c r="F229" s="15" t="s">
        <v>1589</v>
      </c>
      <c r="G229" s="15" t="s">
        <v>1590</v>
      </c>
      <c r="H229" s="15"/>
    </row>
    <row r="230" spans="1:8" x14ac:dyDescent="0.25">
      <c r="A230" s="15" t="s">
        <v>408</v>
      </c>
      <c r="B230" s="15" t="s">
        <v>1591</v>
      </c>
      <c r="C230" s="15" t="s">
        <v>1592</v>
      </c>
      <c r="D230" s="15">
        <v>9777531901</v>
      </c>
      <c r="E230" s="15" t="s">
        <v>1593</v>
      </c>
      <c r="F230" s="15" t="s">
        <v>1594</v>
      </c>
      <c r="G230" s="15" t="s">
        <v>1595</v>
      </c>
      <c r="H230" s="15"/>
    </row>
    <row r="231" spans="1:8" x14ac:dyDescent="0.25">
      <c r="A231" s="15" t="s">
        <v>410</v>
      </c>
      <c r="B231" s="15" t="s">
        <v>1596</v>
      </c>
      <c r="C231" s="15" t="s">
        <v>144</v>
      </c>
      <c r="D231" s="15">
        <v>9380807953</v>
      </c>
      <c r="E231" s="15" t="s">
        <v>1597</v>
      </c>
      <c r="F231" s="15" t="s">
        <v>1598</v>
      </c>
      <c r="G231" s="15" t="s">
        <v>1599</v>
      </c>
      <c r="H231" s="15"/>
    </row>
    <row r="232" spans="1:8" x14ac:dyDescent="0.25">
      <c r="A232" s="15" t="s">
        <v>412</v>
      </c>
      <c r="B232" s="15" t="s">
        <v>1600</v>
      </c>
      <c r="C232" s="15" t="s">
        <v>1601</v>
      </c>
      <c r="D232" s="15">
        <v>9880044350</v>
      </c>
      <c r="E232" s="15" t="s">
        <v>1602</v>
      </c>
      <c r="F232" s="15" t="s">
        <v>1603</v>
      </c>
      <c r="G232" s="15" t="s">
        <v>1604</v>
      </c>
      <c r="H232" s="15"/>
    </row>
    <row r="233" spans="1:8" x14ac:dyDescent="0.25">
      <c r="A233" s="15" t="s">
        <v>414</v>
      </c>
      <c r="B233" s="15" t="s">
        <v>1605</v>
      </c>
      <c r="C233" s="15" t="s">
        <v>156</v>
      </c>
      <c r="D233" s="15">
        <v>9947788901</v>
      </c>
      <c r="E233" s="15" t="s">
        <v>1606</v>
      </c>
      <c r="F233" s="15" t="s">
        <v>1607</v>
      </c>
      <c r="G233" s="15" t="s">
        <v>1608</v>
      </c>
      <c r="H233" s="15"/>
    </row>
    <row r="234" spans="1:8" x14ac:dyDescent="0.25">
      <c r="A234" s="15" t="s">
        <v>416</v>
      </c>
      <c r="B234" s="15" t="s">
        <v>1609</v>
      </c>
      <c r="C234" s="15" t="s">
        <v>400</v>
      </c>
      <c r="D234" s="15">
        <v>9294010619</v>
      </c>
      <c r="E234" s="15" t="s">
        <v>1610</v>
      </c>
      <c r="F234" s="15" t="s">
        <v>1611</v>
      </c>
      <c r="G234" s="15" t="s">
        <v>1612</v>
      </c>
      <c r="H234" s="15"/>
    </row>
    <row r="235" spans="1:8" x14ac:dyDescent="0.25">
      <c r="A235" s="15" t="s">
        <v>418</v>
      </c>
      <c r="B235" s="15" t="s">
        <v>1613</v>
      </c>
      <c r="C235" s="15" t="s">
        <v>1148</v>
      </c>
      <c r="D235" s="15">
        <v>9753431780</v>
      </c>
      <c r="E235" s="15" t="s">
        <v>1614</v>
      </c>
      <c r="F235" s="15" t="s">
        <v>1615</v>
      </c>
      <c r="G235" s="15" t="s">
        <v>1616</v>
      </c>
      <c r="H235" s="15"/>
    </row>
    <row r="236" spans="1:8" x14ac:dyDescent="0.25">
      <c r="A236" s="15" t="s">
        <v>419</v>
      </c>
      <c r="B236" s="15" t="s">
        <v>1617</v>
      </c>
      <c r="C236" s="15" t="s">
        <v>66</v>
      </c>
      <c r="D236" s="15">
        <v>9317208140</v>
      </c>
      <c r="E236" s="15" t="s">
        <v>1618</v>
      </c>
      <c r="F236" s="15" t="s">
        <v>1619</v>
      </c>
      <c r="G236" s="15" t="s">
        <v>1620</v>
      </c>
      <c r="H236" s="15"/>
    </row>
    <row r="237" spans="1:8" x14ac:dyDescent="0.25">
      <c r="A237" s="15" t="s">
        <v>420</v>
      </c>
      <c r="B237" s="15" t="s">
        <v>1621</v>
      </c>
      <c r="C237" s="15" t="s">
        <v>182</v>
      </c>
      <c r="D237" s="15">
        <v>9786315337</v>
      </c>
      <c r="E237" s="15" t="s">
        <v>1622</v>
      </c>
      <c r="F237" s="15" t="s">
        <v>1623</v>
      </c>
      <c r="G237" s="15" t="s">
        <v>1624</v>
      </c>
      <c r="H237" s="15"/>
    </row>
    <row r="238" spans="1:8" x14ac:dyDescent="0.25">
      <c r="A238" s="15" t="s">
        <v>422</v>
      </c>
      <c r="B238" s="15" t="s">
        <v>1625</v>
      </c>
      <c r="C238" s="15" t="s">
        <v>75</v>
      </c>
      <c r="D238" s="15">
        <v>9704653657</v>
      </c>
      <c r="E238" s="15" t="s">
        <v>639</v>
      </c>
      <c r="F238" s="15" t="s">
        <v>1626</v>
      </c>
      <c r="G238" s="15" t="s">
        <v>1627</v>
      </c>
      <c r="H238" s="15"/>
    </row>
    <row r="239" spans="1:8" x14ac:dyDescent="0.25">
      <c r="A239" s="15" t="s">
        <v>423</v>
      </c>
      <c r="B239" s="15" t="s">
        <v>1628</v>
      </c>
      <c r="C239" s="15" t="s">
        <v>282</v>
      </c>
      <c r="D239" s="15">
        <v>9176602663</v>
      </c>
      <c r="E239" s="15" t="s">
        <v>1629</v>
      </c>
      <c r="F239" s="15" t="s">
        <v>1630</v>
      </c>
      <c r="G239" s="15" t="s">
        <v>1631</v>
      </c>
      <c r="H239" s="15"/>
    </row>
    <row r="240" spans="1:8" x14ac:dyDescent="0.25">
      <c r="A240" s="15" t="s">
        <v>424</v>
      </c>
      <c r="B240" s="15" t="s">
        <v>1632</v>
      </c>
      <c r="C240" s="15" t="s">
        <v>886</v>
      </c>
      <c r="D240" s="15">
        <v>9579360082</v>
      </c>
      <c r="E240" s="15" t="s">
        <v>1633</v>
      </c>
      <c r="F240" s="15" t="s">
        <v>1634</v>
      </c>
      <c r="G240" s="15" t="s">
        <v>1635</v>
      </c>
      <c r="H240" s="15"/>
    </row>
    <row r="241" spans="1:8" x14ac:dyDescent="0.25">
      <c r="A241" s="15" t="s">
        <v>427</v>
      </c>
      <c r="B241" s="15" t="s">
        <v>1636</v>
      </c>
      <c r="C241" s="15" t="s">
        <v>601</v>
      </c>
      <c r="D241" s="15">
        <v>9295843880</v>
      </c>
      <c r="E241" s="15" t="s">
        <v>1637</v>
      </c>
      <c r="F241" s="15" t="s">
        <v>1638</v>
      </c>
      <c r="G241" s="15" t="s">
        <v>1639</v>
      </c>
      <c r="H241" s="15"/>
    </row>
    <row r="242" spans="1:8" x14ac:dyDescent="0.25">
      <c r="A242" s="15" t="s">
        <v>428</v>
      </c>
      <c r="B242" s="15" t="s">
        <v>1640</v>
      </c>
      <c r="C242" s="15" t="s">
        <v>1641</v>
      </c>
      <c r="D242" s="15">
        <v>9309470851</v>
      </c>
      <c r="E242" s="15" t="s">
        <v>1642</v>
      </c>
      <c r="F242" s="15" t="s">
        <v>1643</v>
      </c>
      <c r="G242" s="15" t="s">
        <v>1644</v>
      </c>
      <c r="H242" s="15"/>
    </row>
    <row r="243" spans="1:8" x14ac:dyDescent="0.25">
      <c r="A243" s="15" t="s">
        <v>429</v>
      </c>
      <c r="B243" s="15" t="s">
        <v>1645</v>
      </c>
      <c r="C243" s="15" t="s">
        <v>289</v>
      </c>
      <c r="D243" s="15">
        <v>9200831097</v>
      </c>
      <c r="E243" s="15" t="s">
        <v>1646</v>
      </c>
      <c r="F243" s="15" t="s">
        <v>1647</v>
      </c>
      <c r="G243" s="15" t="s">
        <v>1648</v>
      </c>
      <c r="H243" s="15"/>
    </row>
    <row r="244" spans="1:8" x14ac:dyDescent="0.25">
      <c r="A244" s="15" t="s">
        <v>430</v>
      </c>
      <c r="B244" s="15" t="s">
        <v>1649</v>
      </c>
      <c r="C244" s="15" t="s">
        <v>1650</v>
      </c>
      <c r="D244" s="15">
        <v>9231036642</v>
      </c>
      <c r="E244" s="15" t="s">
        <v>1651</v>
      </c>
      <c r="F244" s="15" t="s">
        <v>1136</v>
      </c>
      <c r="G244" s="15" t="s">
        <v>1652</v>
      </c>
      <c r="H244" s="15"/>
    </row>
    <row r="245" spans="1:8" x14ac:dyDescent="0.25">
      <c r="A245" s="15" t="s">
        <v>431</v>
      </c>
      <c r="B245" s="15" t="s">
        <v>1653</v>
      </c>
      <c r="C245" s="15" t="s">
        <v>1654</v>
      </c>
      <c r="D245" s="15">
        <v>9596127478</v>
      </c>
      <c r="E245" s="15" t="s">
        <v>1655</v>
      </c>
      <c r="F245" s="15" t="s">
        <v>1656</v>
      </c>
      <c r="G245" s="15" t="s">
        <v>1657</v>
      </c>
      <c r="H245" s="15"/>
    </row>
    <row r="246" spans="1:8" x14ac:dyDescent="0.25">
      <c r="A246" s="15" t="s">
        <v>432</v>
      </c>
      <c r="B246" s="15" t="s">
        <v>1658</v>
      </c>
      <c r="C246" s="15" t="s">
        <v>573</v>
      </c>
      <c r="D246" s="15">
        <v>9155797793</v>
      </c>
      <c r="E246" s="15" t="s">
        <v>1060</v>
      </c>
      <c r="F246" s="15" t="s">
        <v>1659</v>
      </c>
      <c r="G246" s="15" t="s">
        <v>1660</v>
      </c>
      <c r="H246" s="15"/>
    </row>
    <row r="247" spans="1:8" x14ac:dyDescent="0.25">
      <c r="A247" s="15" t="s">
        <v>433</v>
      </c>
      <c r="B247" s="15" t="s">
        <v>1661</v>
      </c>
      <c r="C247" s="15" t="s">
        <v>223</v>
      </c>
      <c r="D247" s="15">
        <v>9702455836</v>
      </c>
      <c r="E247" s="15" t="s">
        <v>1662</v>
      </c>
      <c r="F247" s="15" t="s">
        <v>1663</v>
      </c>
      <c r="G247" s="15" t="s">
        <v>1664</v>
      </c>
      <c r="H247" s="15"/>
    </row>
    <row r="248" spans="1:8" x14ac:dyDescent="0.25">
      <c r="A248" s="15" t="s">
        <v>434</v>
      </c>
      <c r="B248" s="15" t="s">
        <v>1665</v>
      </c>
      <c r="C248" s="15" t="s">
        <v>1311</v>
      </c>
      <c r="D248" s="15">
        <v>9669940365</v>
      </c>
      <c r="E248" s="15" t="s">
        <v>1666</v>
      </c>
      <c r="F248" s="15" t="s">
        <v>1667</v>
      </c>
      <c r="G248" s="15" t="s">
        <v>1668</v>
      </c>
      <c r="H248" s="15"/>
    </row>
    <row r="249" spans="1:8" x14ac:dyDescent="0.25">
      <c r="A249" s="15" t="s">
        <v>437</v>
      </c>
      <c r="B249" s="15" t="s">
        <v>1669</v>
      </c>
      <c r="C249" s="15" t="s">
        <v>75</v>
      </c>
      <c r="D249" s="15">
        <v>9551753215</v>
      </c>
      <c r="E249" s="15" t="s">
        <v>1670</v>
      </c>
      <c r="F249" s="15" t="s">
        <v>450</v>
      </c>
      <c r="G249" s="15" t="s">
        <v>1671</v>
      </c>
      <c r="H249" s="15"/>
    </row>
    <row r="250" spans="1:8" x14ac:dyDescent="0.25">
      <c r="A250" s="15" t="s">
        <v>439</v>
      </c>
      <c r="B250" s="15" t="s">
        <v>1672</v>
      </c>
      <c r="C250" s="15" t="s">
        <v>1654</v>
      </c>
      <c r="D250" s="15">
        <v>9393596567</v>
      </c>
      <c r="E250" s="15" t="s">
        <v>1673</v>
      </c>
      <c r="F250" s="15" t="s">
        <v>1674</v>
      </c>
      <c r="G250" s="15" t="s">
        <v>1675</v>
      </c>
      <c r="H250" s="15"/>
    </row>
    <row r="251" spans="1:8" x14ac:dyDescent="0.25">
      <c r="A251" s="15" t="s">
        <v>440</v>
      </c>
      <c r="B251" s="15" t="s">
        <v>1676</v>
      </c>
      <c r="C251" s="15" t="s">
        <v>814</v>
      </c>
      <c r="D251" s="15">
        <v>9142325699</v>
      </c>
      <c r="E251" s="15" t="s">
        <v>1677</v>
      </c>
      <c r="F251" s="15" t="s">
        <v>1678</v>
      </c>
      <c r="G251" s="15" t="s">
        <v>1679</v>
      </c>
      <c r="H251" s="15"/>
    </row>
    <row r="252" spans="1:8" x14ac:dyDescent="0.25">
      <c r="A252" s="15" t="s">
        <v>441</v>
      </c>
      <c r="B252" s="15" t="s">
        <v>1680</v>
      </c>
      <c r="C252" s="15" t="s">
        <v>1650</v>
      </c>
      <c r="D252" s="15">
        <v>9600811739</v>
      </c>
      <c r="E252" s="15" t="s">
        <v>1681</v>
      </c>
      <c r="F252" s="15" t="s">
        <v>1682</v>
      </c>
      <c r="G252" s="15" t="s">
        <v>1683</v>
      </c>
      <c r="H252" s="15"/>
    </row>
    <row r="253" spans="1:8" x14ac:dyDescent="0.25">
      <c r="A253" s="15" t="s">
        <v>442</v>
      </c>
      <c r="B253" s="15" t="s">
        <v>1684</v>
      </c>
      <c r="C253" s="15" t="s">
        <v>302</v>
      </c>
      <c r="D253" s="15">
        <v>9409567443</v>
      </c>
      <c r="E253" s="15" t="s">
        <v>1685</v>
      </c>
      <c r="F253" s="15" t="s">
        <v>318</v>
      </c>
      <c r="G253" s="15" t="s">
        <v>1686</v>
      </c>
      <c r="H253" s="15"/>
    </row>
    <row r="254" spans="1:8" x14ac:dyDescent="0.25">
      <c r="A254" s="15" t="s">
        <v>444</v>
      </c>
      <c r="B254" s="15" t="s">
        <v>1687</v>
      </c>
      <c r="C254" s="15" t="s">
        <v>1160</v>
      </c>
      <c r="D254" s="15">
        <v>9316028117</v>
      </c>
      <c r="E254" s="15" t="s">
        <v>1688</v>
      </c>
      <c r="F254" s="15" t="s">
        <v>1689</v>
      </c>
      <c r="G254" s="15" t="s">
        <v>1690</v>
      </c>
      <c r="H254" s="15"/>
    </row>
    <row r="255" spans="1:8" x14ac:dyDescent="0.25">
      <c r="A255" s="15" t="s">
        <v>446</v>
      </c>
      <c r="B255" s="15" t="s">
        <v>1691</v>
      </c>
      <c r="C255" s="15" t="s">
        <v>278</v>
      </c>
      <c r="D255" s="15">
        <v>9433401718</v>
      </c>
      <c r="E255" s="15" t="s">
        <v>1692</v>
      </c>
      <c r="F255" s="15" t="s">
        <v>1693</v>
      </c>
      <c r="G255" s="15" t="s">
        <v>1694</v>
      </c>
      <c r="H255" s="15"/>
    </row>
    <row r="256" spans="1:8" x14ac:dyDescent="0.25">
      <c r="A256" s="15" t="s">
        <v>448</v>
      </c>
      <c r="B256" s="15" t="s">
        <v>1695</v>
      </c>
      <c r="C256" s="15" t="s">
        <v>207</v>
      </c>
      <c r="D256" s="15">
        <v>9112754056</v>
      </c>
      <c r="E256" s="15" t="s">
        <v>1696</v>
      </c>
      <c r="F256" s="15" t="s">
        <v>1697</v>
      </c>
      <c r="G256" s="15" t="s">
        <v>1698</v>
      </c>
      <c r="H256" s="15"/>
    </row>
    <row r="257" spans="1:8" x14ac:dyDescent="0.25">
      <c r="A257" s="15" t="s">
        <v>451</v>
      </c>
      <c r="B257" s="15" t="s">
        <v>1699</v>
      </c>
      <c r="C257" s="15" t="s">
        <v>1096</v>
      </c>
      <c r="D257" s="15">
        <v>9332079657</v>
      </c>
      <c r="E257" s="15" t="s">
        <v>1700</v>
      </c>
      <c r="F257" s="15" t="s">
        <v>1701</v>
      </c>
      <c r="G257" s="15" t="s">
        <v>1702</v>
      </c>
      <c r="H257" s="15"/>
    </row>
    <row r="258" spans="1:8" x14ac:dyDescent="0.25">
      <c r="A258" s="15" t="s">
        <v>452</v>
      </c>
      <c r="B258" s="15" t="s">
        <v>1703</v>
      </c>
      <c r="C258" s="15" t="s">
        <v>1704</v>
      </c>
      <c r="D258" s="15">
        <v>9995855040</v>
      </c>
      <c r="E258" s="15" t="s">
        <v>1705</v>
      </c>
      <c r="F258" s="15" t="s">
        <v>1706</v>
      </c>
      <c r="G258" s="15" t="s">
        <v>1707</v>
      </c>
      <c r="H258" s="15"/>
    </row>
    <row r="259" spans="1:8" x14ac:dyDescent="0.25">
      <c r="A259" s="15" t="s">
        <v>453</v>
      </c>
      <c r="B259" s="15" t="s">
        <v>1708</v>
      </c>
      <c r="C259" s="15" t="s">
        <v>1195</v>
      </c>
      <c r="D259" s="15">
        <v>9250675203</v>
      </c>
      <c r="E259" s="15" t="s">
        <v>1709</v>
      </c>
      <c r="F259" s="15" t="s">
        <v>1710</v>
      </c>
      <c r="G259" s="15" t="s">
        <v>1711</v>
      </c>
      <c r="H259" s="15"/>
    </row>
    <row r="260" spans="1:8" x14ac:dyDescent="0.25">
      <c r="A260" s="15" t="s">
        <v>454</v>
      </c>
      <c r="B260" s="15" t="s">
        <v>1712</v>
      </c>
      <c r="C260" s="15" t="s">
        <v>1713</v>
      </c>
      <c r="D260" s="15">
        <v>9210978217</v>
      </c>
      <c r="E260" s="15" t="s">
        <v>1714</v>
      </c>
      <c r="F260" s="15" t="s">
        <v>1715</v>
      </c>
      <c r="G260" s="15" t="s">
        <v>1716</v>
      </c>
      <c r="H260" s="15"/>
    </row>
    <row r="261" spans="1:8" x14ac:dyDescent="0.25">
      <c r="A261" s="15" t="s">
        <v>457</v>
      </c>
      <c r="B261" s="15" t="s">
        <v>1717</v>
      </c>
      <c r="C261" s="15" t="s">
        <v>1713</v>
      </c>
      <c r="D261" s="15">
        <v>9941476572</v>
      </c>
      <c r="E261" s="15" t="s">
        <v>1718</v>
      </c>
      <c r="F261" s="15" t="s">
        <v>1719</v>
      </c>
      <c r="G261" s="15" t="s">
        <v>1720</v>
      </c>
      <c r="H261" s="15"/>
    </row>
    <row r="262" spans="1:8" x14ac:dyDescent="0.25">
      <c r="A262" s="15" t="s">
        <v>458</v>
      </c>
      <c r="B262" s="15" t="s">
        <v>1721</v>
      </c>
      <c r="C262" s="15" t="s">
        <v>425</v>
      </c>
      <c r="D262" s="15">
        <v>9519494236</v>
      </c>
      <c r="E262" s="15" t="s">
        <v>426</v>
      </c>
      <c r="F262" s="15" t="s">
        <v>1722</v>
      </c>
      <c r="G262" s="15" t="s">
        <v>1723</v>
      </c>
      <c r="H262" s="15"/>
    </row>
    <row r="263" spans="1:8" x14ac:dyDescent="0.25">
      <c r="A263" s="15" t="s">
        <v>459</v>
      </c>
      <c r="B263" s="15" t="s">
        <v>1724</v>
      </c>
      <c r="C263" s="15" t="s">
        <v>1725</v>
      </c>
      <c r="D263" s="15">
        <v>9676464355</v>
      </c>
      <c r="E263" s="15" t="s">
        <v>1726</v>
      </c>
      <c r="F263" s="15" t="s">
        <v>1727</v>
      </c>
      <c r="G263" s="15" t="s">
        <v>1728</v>
      </c>
      <c r="H263" s="15"/>
    </row>
    <row r="264" spans="1:8" x14ac:dyDescent="0.25">
      <c r="A264" s="15" t="s">
        <v>462</v>
      </c>
      <c r="B264" s="15" t="s">
        <v>1729</v>
      </c>
      <c r="C264" s="15" t="s">
        <v>927</v>
      </c>
      <c r="D264" s="15">
        <v>9454421761</v>
      </c>
      <c r="E264" s="15" t="s">
        <v>1730</v>
      </c>
      <c r="F264" s="15" t="s">
        <v>1731</v>
      </c>
      <c r="G264" s="15" t="s">
        <v>1732</v>
      </c>
      <c r="H264" s="15"/>
    </row>
    <row r="265" spans="1:8" x14ac:dyDescent="0.25">
      <c r="A265" s="15" t="s">
        <v>463</v>
      </c>
      <c r="B265" s="15" t="s">
        <v>1733</v>
      </c>
      <c r="C265" s="15" t="s">
        <v>405</v>
      </c>
      <c r="D265" s="15">
        <v>9706594044</v>
      </c>
      <c r="E265" s="15" t="s">
        <v>1734</v>
      </c>
      <c r="F265" s="15" t="s">
        <v>1735</v>
      </c>
      <c r="G265" s="15" t="s">
        <v>1736</v>
      </c>
      <c r="H265" s="15"/>
    </row>
    <row r="266" spans="1:8" x14ac:dyDescent="0.25">
      <c r="A266" s="15" t="s">
        <v>465</v>
      </c>
      <c r="B266" s="15" t="s">
        <v>1737</v>
      </c>
      <c r="C266" s="15" t="s">
        <v>1738</v>
      </c>
      <c r="D266" s="15">
        <v>9561769420</v>
      </c>
      <c r="E266" s="15" t="s">
        <v>1739</v>
      </c>
      <c r="F266" s="15" t="s">
        <v>1740</v>
      </c>
      <c r="G266" s="15" t="s">
        <v>1741</v>
      </c>
      <c r="H266" s="15"/>
    </row>
    <row r="267" spans="1:8" x14ac:dyDescent="0.25">
      <c r="A267" s="15" t="s">
        <v>467</v>
      </c>
      <c r="B267" s="15" t="s">
        <v>1742</v>
      </c>
      <c r="C267" s="15" t="s">
        <v>1280</v>
      </c>
      <c r="D267" s="15">
        <v>9663981016</v>
      </c>
      <c r="E267" s="15" t="s">
        <v>1743</v>
      </c>
      <c r="F267" s="15" t="s">
        <v>1744</v>
      </c>
      <c r="G267" s="15" t="s">
        <v>1745</v>
      </c>
      <c r="H267" s="15"/>
    </row>
    <row r="268" spans="1:8" x14ac:dyDescent="0.25">
      <c r="A268" s="15" t="s">
        <v>469</v>
      </c>
      <c r="B268" s="15" t="s">
        <v>1746</v>
      </c>
      <c r="C268" s="15" t="s">
        <v>354</v>
      </c>
      <c r="D268" s="15">
        <v>9302093455</v>
      </c>
      <c r="E268" s="15" t="s">
        <v>1747</v>
      </c>
      <c r="F268" s="15" t="s">
        <v>1748</v>
      </c>
      <c r="G268" s="15" t="s">
        <v>1749</v>
      </c>
      <c r="H268" s="15"/>
    </row>
    <row r="269" spans="1:8" x14ac:dyDescent="0.25">
      <c r="A269" s="15" t="s">
        <v>471</v>
      </c>
      <c r="B269" s="15" t="s">
        <v>1750</v>
      </c>
      <c r="C269" s="15" t="s">
        <v>1027</v>
      </c>
      <c r="D269" s="15">
        <v>9199044929</v>
      </c>
      <c r="E269" s="15" t="s">
        <v>1751</v>
      </c>
      <c r="F269" s="15" t="s">
        <v>1752</v>
      </c>
      <c r="G269" s="15" t="s">
        <v>1753</v>
      </c>
      <c r="H269" s="15"/>
    </row>
    <row r="270" spans="1:8" x14ac:dyDescent="0.25">
      <c r="A270" s="15" t="s">
        <v>473</v>
      </c>
      <c r="B270" s="15" t="s">
        <v>1754</v>
      </c>
      <c r="C270" s="15" t="s">
        <v>409</v>
      </c>
      <c r="D270" s="15">
        <v>9416668524</v>
      </c>
      <c r="E270" s="15" t="s">
        <v>1755</v>
      </c>
      <c r="F270" s="15" t="s">
        <v>1756</v>
      </c>
      <c r="G270" s="15" t="s">
        <v>1757</v>
      </c>
      <c r="H270" s="15"/>
    </row>
    <row r="271" spans="1:8" x14ac:dyDescent="0.25">
      <c r="A271" s="15" t="s">
        <v>474</v>
      </c>
      <c r="B271" s="15" t="s">
        <v>1758</v>
      </c>
      <c r="C271" s="15" t="s">
        <v>1759</v>
      </c>
      <c r="D271" s="15">
        <v>9301979612</v>
      </c>
      <c r="E271" s="15" t="s">
        <v>1760</v>
      </c>
      <c r="F271" s="15" t="s">
        <v>1761</v>
      </c>
      <c r="G271" s="15" t="s">
        <v>1762</v>
      </c>
      <c r="H271" s="15"/>
    </row>
    <row r="272" spans="1:8" x14ac:dyDescent="0.25">
      <c r="A272" s="15" t="s">
        <v>476</v>
      </c>
      <c r="B272" s="15" t="s">
        <v>1763</v>
      </c>
      <c r="C272" s="15" t="s">
        <v>737</v>
      </c>
      <c r="D272" s="15">
        <v>9102983956</v>
      </c>
      <c r="E272" s="15" t="s">
        <v>1764</v>
      </c>
      <c r="F272" s="15" t="s">
        <v>1765</v>
      </c>
      <c r="G272" s="15" t="s">
        <v>1766</v>
      </c>
      <c r="H272" s="15"/>
    </row>
    <row r="273" spans="1:8" x14ac:dyDescent="0.25">
      <c r="A273" s="15" t="s">
        <v>478</v>
      </c>
      <c r="B273" s="15" t="s">
        <v>615</v>
      </c>
      <c r="C273" s="15" t="s">
        <v>1173</v>
      </c>
      <c r="D273" s="15">
        <v>9311151760</v>
      </c>
      <c r="E273" s="15" t="s">
        <v>1767</v>
      </c>
      <c r="F273" s="15" t="s">
        <v>1768</v>
      </c>
      <c r="G273" s="15" t="s">
        <v>1769</v>
      </c>
      <c r="H273" s="15"/>
    </row>
    <row r="274" spans="1:8" x14ac:dyDescent="0.25">
      <c r="A274" s="15" t="s">
        <v>480</v>
      </c>
      <c r="B274" s="15" t="s">
        <v>1770</v>
      </c>
      <c r="C274" s="15" t="s">
        <v>302</v>
      </c>
      <c r="D274" s="15">
        <v>9230461078</v>
      </c>
      <c r="E274" s="15" t="s">
        <v>1685</v>
      </c>
      <c r="F274" s="15" t="s">
        <v>1771</v>
      </c>
      <c r="G274" s="15" t="s">
        <v>1772</v>
      </c>
      <c r="H274" s="15"/>
    </row>
    <row r="275" spans="1:8" x14ac:dyDescent="0.25">
      <c r="A275" s="15" t="s">
        <v>482</v>
      </c>
      <c r="B275" s="15" t="s">
        <v>1773</v>
      </c>
      <c r="C275" s="15" t="s">
        <v>1774</v>
      </c>
      <c r="D275" s="15">
        <v>9626591622</v>
      </c>
      <c r="E275" s="15" t="s">
        <v>1775</v>
      </c>
      <c r="F275" s="15" t="s">
        <v>1776</v>
      </c>
      <c r="G275" s="15" t="s">
        <v>1777</v>
      </c>
      <c r="H275" s="15"/>
    </row>
    <row r="276" spans="1:8" x14ac:dyDescent="0.25">
      <c r="A276" s="15" t="s">
        <v>483</v>
      </c>
      <c r="B276" s="15" t="s">
        <v>1778</v>
      </c>
      <c r="C276" s="15" t="s">
        <v>137</v>
      </c>
      <c r="D276" s="15">
        <v>9281907571</v>
      </c>
      <c r="E276" s="15" t="s">
        <v>1779</v>
      </c>
      <c r="F276" s="15" t="s">
        <v>1780</v>
      </c>
      <c r="G276" s="15" t="s">
        <v>1781</v>
      </c>
      <c r="H276" s="15"/>
    </row>
    <row r="277" spans="1:8" x14ac:dyDescent="0.25">
      <c r="A277" s="15" t="s">
        <v>484</v>
      </c>
      <c r="B277" s="15" t="s">
        <v>1782</v>
      </c>
      <c r="C277" s="15" t="s">
        <v>759</v>
      </c>
      <c r="D277" s="15">
        <v>9336274649</v>
      </c>
      <c r="E277" s="15" t="s">
        <v>1783</v>
      </c>
      <c r="F277" s="15" t="s">
        <v>1784</v>
      </c>
      <c r="G277" s="15" t="s">
        <v>1785</v>
      </c>
      <c r="H277" s="15"/>
    </row>
    <row r="278" spans="1:8" x14ac:dyDescent="0.25">
      <c r="A278" s="15" t="s">
        <v>485</v>
      </c>
      <c r="B278" s="15" t="s">
        <v>1786</v>
      </c>
      <c r="C278" s="15" t="s">
        <v>240</v>
      </c>
      <c r="D278" s="15">
        <v>9730283517</v>
      </c>
      <c r="E278" s="15" t="s">
        <v>1787</v>
      </c>
      <c r="F278" s="15" t="s">
        <v>1788</v>
      </c>
      <c r="G278" s="15" t="s">
        <v>1789</v>
      </c>
      <c r="H278" s="15"/>
    </row>
    <row r="279" spans="1:8" x14ac:dyDescent="0.25">
      <c r="A279" s="15" t="s">
        <v>487</v>
      </c>
      <c r="B279" s="15" t="s">
        <v>1790</v>
      </c>
      <c r="C279" s="15" t="s">
        <v>200</v>
      </c>
      <c r="D279" s="15">
        <v>9360841799</v>
      </c>
      <c r="E279" s="15" t="s">
        <v>1791</v>
      </c>
      <c r="F279" s="15" t="s">
        <v>1792</v>
      </c>
      <c r="G279" s="15" t="s">
        <v>1793</v>
      </c>
      <c r="H279" s="15"/>
    </row>
    <row r="280" spans="1:8" x14ac:dyDescent="0.25">
      <c r="A280" s="15" t="s">
        <v>488</v>
      </c>
      <c r="B280" s="15" t="s">
        <v>1794</v>
      </c>
      <c r="C280" s="15" t="s">
        <v>737</v>
      </c>
      <c r="D280" s="15">
        <v>9361339057</v>
      </c>
      <c r="E280" s="15" t="s">
        <v>1795</v>
      </c>
      <c r="F280" s="15" t="s">
        <v>1796</v>
      </c>
      <c r="G280" s="15" t="s">
        <v>1797</v>
      </c>
      <c r="H280" s="15"/>
    </row>
    <row r="281" spans="1:8" x14ac:dyDescent="0.25">
      <c r="A281" s="15" t="s">
        <v>490</v>
      </c>
      <c r="B281" s="15" t="s">
        <v>1798</v>
      </c>
      <c r="C281" s="15" t="s">
        <v>438</v>
      </c>
      <c r="D281" s="15">
        <v>9489699908</v>
      </c>
      <c r="E281" s="15" t="s">
        <v>1799</v>
      </c>
      <c r="F281" s="15" t="s">
        <v>1800</v>
      </c>
      <c r="G281" s="15" t="s">
        <v>1801</v>
      </c>
      <c r="H281" s="15"/>
    </row>
    <row r="282" spans="1:8" x14ac:dyDescent="0.25">
      <c r="A282" s="15" t="s">
        <v>491</v>
      </c>
      <c r="B282" s="15" t="s">
        <v>1802</v>
      </c>
      <c r="C282" s="15" t="s">
        <v>142</v>
      </c>
      <c r="D282" s="15">
        <v>9986723133</v>
      </c>
      <c r="E282" s="15" t="s">
        <v>1803</v>
      </c>
      <c r="F282" s="15" t="s">
        <v>1804</v>
      </c>
      <c r="G282" s="15" t="s">
        <v>1805</v>
      </c>
      <c r="H282" s="15"/>
    </row>
    <row r="283" spans="1:8" x14ac:dyDescent="0.25">
      <c r="A283" s="15" t="s">
        <v>492</v>
      </c>
      <c r="B283" s="15" t="s">
        <v>1806</v>
      </c>
      <c r="C283" s="15" t="s">
        <v>172</v>
      </c>
      <c r="D283" s="15">
        <v>9267389248</v>
      </c>
      <c r="E283" s="15" t="s">
        <v>1807</v>
      </c>
      <c r="F283" s="15" t="s">
        <v>1808</v>
      </c>
      <c r="G283" s="15" t="s">
        <v>1809</v>
      </c>
      <c r="H283" s="15"/>
    </row>
    <row r="284" spans="1:8" x14ac:dyDescent="0.25">
      <c r="A284" s="15" t="s">
        <v>493</v>
      </c>
      <c r="B284" s="15" t="s">
        <v>1810</v>
      </c>
      <c r="C284" s="15" t="s">
        <v>164</v>
      </c>
      <c r="D284" s="15">
        <v>9601494153</v>
      </c>
      <c r="E284" s="15" t="s">
        <v>1811</v>
      </c>
      <c r="F284" s="15" t="s">
        <v>1238</v>
      </c>
      <c r="G284" s="15" t="s">
        <v>1812</v>
      </c>
      <c r="H284" s="15"/>
    </row>
    <row r="285" spans="1:8" x14ac:dyDescent="0.25">
      <c r="A285" s="15" t="s">
        <v>494</v>
      </c>
      <c r="B285" s="15" t="s">
        <v>1813</v>
      </c>
      <c r="C285" s="15" t="s">
        <v>228</v>
      </c>
      <c r="D285" s="15">
        <v>9642056791</v>
      </c>
      <c r="E285" s="15" t="s">
        <v>971</v>
      </c>
      <c r="F285" s="15" t="s">
        <v>1814</v>
      </c>
      <c r="G285" s="15" t="s">
        <v>1815</v>
      </c>
      <c r="H285" s="15"/>
    </row>
    <row r="286" spans="1:8" x14ac:dyDescent="0.25">
      <c r="A286" s="15" t="s">
        <v>495</v>
      </c>
      <c r="B286" s="15" t="s">
        <v>1816</v>
      </c>
      <c r="C286" s="15" t="s">
        <v>443</v>
      </c>
      <c r="D286" s="15">
        <v>9533953439</v>
      </c>
      <c r="E286" s="15" t="s">
        <v>1817</v>
      </c>
      <c r="F286" s="15" t="s">
        <v>1818</v>
      </c>
      <c r="G286" s="15" t="s">
        <v>1819</v>
      </c>
      <c r="H286" s="15"/>
    </row>
    <row r="287" spans="1:8" x14ac:dyDescent="0.25">
      <c r="A287" s="15" t="s">
        <v>497</v>
      </c>
      <c r="B287" s="15" t="s">
        <v>1820</v>
      </c>
      <c r="C287" s="15" t="s">
        <v>82</v>
      </c>
      <c r="D287" s="15">
        <v>9928654165</v>
      </c>
      <c r="E287" s="15" t="s">
        <v>1821</v>
      </c>
      <c r="F287" s="15" t="s">
        <v>1822</v>
      </c>
      <c r="G287" s="15" t="s">
        <v>1823</v>
      </c>
      <c r="H287" s="15"/>
    </row>
    <row r="288" spans="1:8" x14ac:dyDescent="0.25">
      <c r="A288" s="15" t="s">
        <v>498</v>
      </c>
      <c r="B288" s="15" t="s">
        <v>1824</v>
      </c>
      <c r="C288" s="15" t="s">
        <v>1825</v>
      </c>
      <c r="D288" s="15">
        <v>9933371692</v>
      </c>
      <c r="E288" s="15" t="s">
        <v>1826</v>
      </c>
      <c r="F288" s="15" t="s">
        <v>466</v>
      </c>
      <c r="G288" s="15" t="s">
        <v>1827</v>
      </c>
      <c r="H288" s="15"/>
    </row>
    <row r="289" spans="1:8" x14ac:dyDescent="0.25">
      <c r="A289" s="15" t="s">
        <v>499</v>
      </c>
      <c r="B289" s="15" t="s">
        <v>1828</v>
      </c>
      <c r="C289" s="15" t="s">
        <v>193</v>
      </c>
      <c r="D289" s="15">
        <v>9170771388</v>
      </c>
      <c r="E289" s="15" t="s">
        <v>1829</v>
      </c>
      <c r="F289" s="15" t="s">
        <v>1830</v>
      </c>
      <c r="G289" s="15" t="s">
        <v>1831</v>
      </c>
      <c r="H289" s="15"/>
    </row>
    <row r="290" spans="1:8" x14ac:dyDescent="0.25">
      <c r="A290" s="15" t="s">
        <v>500</v>
      </c>
      <c r="B290" s="15" t="s">
        <v>1832</v>
      </c>
      <c r="C290" s="15" t="s">
        <v>425</v>
      </c>
      <c r="D290" s="15">
        <v>9533123990</v>
      </c>
      <c r="E290" s="15" t="s">
        <v>1289</v>
      </c>
      <c r="F290" s="15" t="s">
        <v>1833</v>
      </c>
      <c r="G290" s="15" t="s">
        <v>1834</v>
      </c>
      <c r="H290" s="15"/>
    </row>
    <row r="291" spans="1:8" x14ac:dyDescent="0.25">
      <c r="A291" s="15" t="s">
        <v>501</v>
      </c>
      <c r="B291" s="15" t="s">
        <v>1835</v>
      </c>
      <c r="C291" s="15" t="s">
        <v>475</v>
      </c>
      <c r="D291" s="15">
        <v>9807664110</v>
      </c>
      <c r="E291" s="15" t="s">
        <v>1836</v>
      </c>
      <c r="F291" s="15" t="s">
        <v>1837</v>
      </c>
      <c r="G291" s="15" t="s">
        <v>1838</v>
      </c>
      <c r="H291" s="15"/>
    </row>
    <row r="292" spans="1:8" x14ac:dyDescent="0.25">
      <c r="A292" s="15" t="s">
        <v>502</v>
      </c>
      <c r="B292" s="15" t="s">
        <v>1839</v>
      </c>
      <c r="C292" s="15" t="s">
        <v>1840</v>
      </c>
      <c r="D292" s="15">
        <v>9223729111</v>
      </c>
      <c r="E292" s="15" t="s">
        <v>1841</v>
      </c>
      <c r="F292" s="15" t="s">
        <v>1842</v>
      </c>
      <c r="G292" s="15" t="s">
        <v>1843</v>
      </c>
      <c r="H292" s="15"/>
    </row>
    <row r="293" spans="1:8" x14ac:dyDescent="0.25">
      <c r="A293" s="15" t="s">
        <v>503</v>
      </c>
      <c r="B293" s="15" t="s">
        <v>1844</v>
      </c>
      <c r="C293" s="15" t="s">
        <v>814</v>
      </c>
      <c r="D293" s="15">
        <v>9912779275</v>
      </c>
      <c r="E293" s="15" t="s">
        <v>1845</v>
      </c>
      <c r="F293" s="15" t="s">
        <v>1846</v>
      </c>
      <c r="G293" s="15" t="s">
        <v>1847</v>
      </c>
      <c r="H293" s="15"/>
    </row>
    <row r="294" spans="1:8" x14ac:dyDescent="0.25">
      <c r="A294" s="15" t="s">
        <v>504</v>
      </c>
      <c r="B294" s="15" t="s">
        <v>1848</v>
      </c>
      <c r="C294" s="15" t="s">
        <v>464</v>
      </c>
      <c r="D294" s="15">
        <v>9344442652</v>
      </c>
      <c r="E294" s="15" t="s">
        <v>1849</v>
      </c>
      <c r="F294" s="15" t="s">
        <v>1850</v>
      </c>
      <c r="G294" s="15" t="s">
        <v>1851</v>
      </c>
      <c r="H294" s="15"/>
    </row>
    <row r="295" spans="1:8" x14ac:dyDescent="0.25">
      <c r="A295" s="15" t="s">
        <v>505</v>
      </c>
      <c r="B295" s="15" t="s">
        <v>1852</v>
      </c>
      <c r="C295" s="15" t="s">
        <v>1853</v>
      </c>
      <c r="D295" s="15">
        <v>9146127709</v>
      </c>
      <c r="E295" s="15" t="s">
        <v>1854</v>
      </c>
      <c r="F295" s="15" t="s">
        <v>1855</v>
      </c>
      <c r="G295" s="15" t="s">
        <v>1856</v>
      </c>
      <c r="H295" s="15"/>
    </row>
    <row r="296" spans="1:8" x14ac:dyDescent="0.25">
      <c r="A296" s="15" t="s">
        <v>506</v>
      </c>
      <c r="B296" s="15" t="s">
        <v>1857</v>
      </c>
      <c r="C296" s="15" t="s">
        <v>608</v>
      </c>
      <c r="D296" s="15">
        <v>9192488735</v>
      </c>
      <c r="E296" s="15" t="s">
        <v>1858</v>
      </c>
      <c r="F296" s="15" t="s">
        <v>1859</v>
      </c>
      <c r="G296" s="15" t="s">
        <v>1860</v>
      </c>
      <c r="H296" s="15"/>
    </row>
    <row r="297" spans="1:8" x14ac:dyDescent="0.25">
      <c r="A297" s="15" t="s">
        <v>507</v>
      </c>
      <c r="B297" s="15" t="s">
        <v>1861</v>
      </c>
      <c r="C297" s="15" t="s">
        <v>110</v>
      </c>
      <c r="D297" s="15">
        <v>9465393827</v>
      </c>
      <c r="E297" s="15" t="s">
        <v>1862</v>
      </c>
      <c r="F297" s="15" t="s">
        <v>1863</v>
      </c>
      <c r="G297" s="15" t="s">
        <v>1864</v>
      </c>
      <c r="H297" s="15"/>
    </row>
    <row r="298" spans="1:8" x14ac:dyDescent="0.25">
      <c r="A298" s="15" t="s">
        <v>509</v>
      </c>
      <c r="B298" s="15" t="s">
        <v>1865</v>
      </c>
      <c r="C298" s="15" t="s">
        <v>1866</v>
      </c>
      <c r="D298" s="15">
        <v>9918107863</v>
      </c>
      <c r="E298" s="15" t="s">
        <v>1867</v>
      </c>
      <c r="F298" s="15" t="s">
        <v>1868</v>
      </c>
      <c r="G298" s="15" t="s">
        <v>1869</v>
      </c>
      <c r="H298" s="15"/>
    </row>
    <row r="299" spans="1:8" x14ac:dyDescent="0.25">
      <c r="A299" s="15" t="s">
        <v>511</v>
      </c>
      <c r="B299" s="15" t="s">
        <v>1870</v>
      </c>
      <c r="C299" s="15" t="s">
        <v>382</v>
      </c>
      <c r="D299" s="15">
        <v>9368102662</v>
      </c>
      <c r="E299" s="15" t="s">
        <v>1871</v>
      </c>
      <c r="F299" s="15" t="s">
        <v>1872</v>
      </c>
      <c r="G299" s="15" t="s">
        <v>1873</v>
      </c>
      <c r="H299" s="15"/>
    </row>
    <row r="300" spans="1:8" x14ac:dyDescent="0.25">
      <c r="A300" s="15" t="s">
        <v>512</v>
      </c>
      <c r="B300" s="15" t="s">
        <v>1874</v>
      </c>
      <c r="C300" s="15" t="s">
        <v>93</v>
      </c>
      <c r="D300" s="15">
        <v>9836835967</v>
      </c>
      <c r="E300" s="15" t="s">
        <v>1875</v>
      </c>
      <c r="F300" s="15" t="s">
        <v>1876</v>
      </c>
      <c r="G300" s="15" t="s">
        <v>1877</v>
      </c>
      <c r="H300" s="15"/>
    </row>
    <row r="301" spans="1:8" x14ac:dyDescent="0.25">
      <c r="A301" s="15" t="s">
        <v>513</v>
      </c>
      <c r="B301" s="15" t="s">
        <v>1878</v>
      </c>
      <c r="C301" s="15" t="s">
        <v>891</v>
      </c>
      <c r="D301" s="15">
        <v>9788171411</v>
      </c>
      <c r="E301" s="15" t="s">
        <v>1879</v>
      </c>
      <c r="F301" s="15" t="s">
        <v>1880</v>
      </c>
      <c r="G301" s="15" t="s">
        <v>1881</v>
      </c>
      <c r="H301" s="15"/>
    </row>
    <row r="302" spans="1:8" x14ac:dyDescent="0.25">
      <c r="A302" s="15" t="s">
        <v>514</v>
      </c>
      <c r="B302" s="15" t="s">
        <v>1882</v>
      </c>
      <c r="C302" s="15" t="s">
        <v>230</v>
      </c>
      <c r="D302" s="15">
        <v>9916598955</v>
      </c>
      <c r="E302" s="15" t="s">
        <v>1883</v>
      </c>
      <c r="F302" s="15" t="s">
        <v>1884</v>
      </c>
      <c r="G302" s="15" t="s">
        <v>1885</v>
      </c>
      <c r="H302" s="15"/>
    </row>
    <row r="303" spans="1:8" x14ac:dyDescent="0.25">
      <c r="A303" s="15" t="s">
        <v>515</v>
      </c>
      <c r="B303" s="15" t="s">
        <v>1886</v>
      </c>
      <c r="C303" s="15" t="s">
        <v>575</v>
      </c>
      <c r="D303" s="15">
        <v>9622492085</v>
      </c>
      <c r="E303" s="15" t="s">
        <v>874</v>
      </c>
      <c r="F303" s="15" t="s">
        <v>1868</v>
      </c>
      <c r="G303" s="15" t="s">
        <v>1887</v>
      </c>
      <c r="H303" s="15"/>
    </row>
    <row r="304" spans="1:8" x14ac:dyDescent="0.25">
      <c r="A304" s="15" t="s">
        <v>517</v>
      </c>
      <c r="B304" s="15" t="s">
        <v>1888</v>
      </c>
      <c r="C304" s="15" t="s">
        <v>161</v>
      </c>
      <c r="D304" s="15">
        <v>9273215586</v>
      </c>
      <c r="E304" s="15" t="s">
        <v>1889</v>
      </c>
      <c r="F304" s="15" t="s">
        <v>1890</v>
      </c>
      <c r="G304" s="15" t="s">
        <v>1891</v>
      </c>
      <c r="H304" s="15"/>
    </row>
    <row r="305" spans="1:8" x14ac:dyDescent="0.25">
      <c r="A305" s="15" t="s">
        <v>519</v>
      </c>
      <c r="B305" s="15" t="s">
        <v>1892</v>
      </c>
      <c r="C305" s="15" t="s">
        <v>128</v>
      </c>
      <c r="D305" s="15">
        <v>9603060558</v>
      </c>
      <c r="E305" s="15" t="s">
        <v>1893</v>
      </c>
      <c r="F305" s="15" t="s">
        <v>1894</v>
      </c>
      <c r="G305" s="15" t="s">
        <v>1895</v>
      </c>
      <c r="H305" s="15"/>
    </row>
    <row r="306" spans="1:8" x14ac:dyDescent="0.25">
      <c r="A306" s="15" t="s">
        <v>520</v>
      </c>
      <c r="B306" s="15" t="s">
        <v>1896</v>
      </c>
      <c r="C306" s="15" t="s">
        <v>411</v>
      </c>
      <c r="D306" s="15">
        <v>9683118942</v>
      </c>
      <c r="E306" s="15" t="s">
        <v>1897</v>
      </c>
      <c r="F306" s="15" t="s">
        <v>1898</v>
      </c>
      <c r="G306" s="15" t="s">
        <v>1899</v>
      </c>
      <c r="H306" s="15"/>
    </row>
    <row r="307" spans="1:8" x14ac:dyDescent="0.25">
      <c r="A307" s="15" t="s">
        <v>521</v>
      </c>
      <c r="B307" s="15" t="s">
        <v>1900</v>
      </c>
      <c r="C307" s="15" t="s">
        <v>209</v>
      </c>
      <c r="D307" s="15">
        <v>9902566478</v>
      </c>
      <c r="E307" s="15" t="s">
        <v>1901</v>
      </c>
      <c r="F307" s="15" t="s">
        <v>1902</v>
      </c>
      <c r="G307" s="15" t="s">
        <v>1903</v>
      </c>
      <c r="H307" s="15"/>
    </row>
    <row r="308" spans="1:8" x14ac:dyDescent="0.25">
      <c r="A308" s="15" t="s">
        <v>522</v>
      </c>
      <c r="B308" s="15" t="s">
        <v>1904</v>
      </c>
      <c r="C308" s="15" t="s">
        <v>1348</v>
      </c>
      <c r="D308" s="15">
        <v>9209711807</v>
      </c>
      <c r="E308" s="15" t="s">
        <v>1905</v>
      </c>
      <c r="F308" s="15" t="s">
        <v>1906</v>
      </c>
      <c r="G308" s="15" t="s">
        <v>1907</v>
      </c>
      <c r="H308" s="15"/>
    </row>
    <row r="309" spans="1:8" x14ac:dyDescent="0.25">
      <c r="A309" s="15" t="s">
        <v>523</v>
      </c>
      <c r="B309" s="15" t="s">
        <v>1908</v>
      </c>
      <c r="C309" s="15" t="s">
        <v>1909</v>
      </c>
      <c r="D309" s="15">
        <v>9495701495</v>
      </c>
      <c r="E309" s="15" t="s">
        <v>1910</v>
      </c>
      <c r="F309" s="15" t="s">
        <v>1911</v>
      </c>
      <c r="G309" s="15" t="s">
        <v>1912</v>
      </c>
      <c r="H309" s="15"/>
    </row>
    <row r="310" spans="1:8" x14ac:dyDescent="0.25">
      <c r="A310" s="15" t="s">
        <v>525</v>
      </c>
      <c r="B310" s="15" t="s">
        <v>1913</v>
      </c>
      <c r="C310" s="15" t="s">
        <v>197</v>
      </c>
      <c r="D310" s="15">
        <v>9774536565</v>
      </c>
      <c r="E310" s="15" t="s">
        <v>1914</v>
      </c>
      <c r="F310" s="15" t="s">
        <v>1915</v>
      </c>
      <c r="G310" s="15" t="s">
        <v>1916</v>
      </c>
      <c r="H310" s="15"/>
    </row>
    <row r="311" spans="1:8" x14ac:dyDescent="0.25">
      <c r="A311" s="15" t="s">
        <v>527</v>
      </c>
      <c r="B311" s="15" t="s">
        <v>1917</v>
      </c>
      <c r="C311" s="15" t="s">
        <v>275</v>
      </c>
      <c r="D311" s="15">
        <v>9344275481</v>
      </c>
      <c r="E311" s="15" t="s">
        <v>1918</v>
      </c>
      <c r="F311" s="15" t="s">
        <v>1919</v>
      </c>
      <c r="G311" s="15" t="s">
        <v>1920</v>
      </c>
      <c r="H311" s="15"/>
    </row>
    <row r="312" spans="1:8" x14ac:dyDescent="0.25">
      <c r="A312" s="15" t="s">
        <v>528</v>
      </c>
      <c r="B312" s="15" t="s">
        <v>1921</v>
      </c>
      <c r="C312" s="15" t="s">
        <v>1922</v>
      </c>
      <c r="D312" s="15">
        <v>9876261974</v>
      </c>
      <c r="E312" s="15" t="s">
        <v>1923</v>
      </c>
      <c r="F312" s="15" t="s">
        <v>1924</v>
      </c>
      <c r="G312" s="15" t="s">
        <v>1925</v>
      </c>
      <c r="H312" s="15"/>
    </row>
    <row r="313" spans="1:8" x14ac:dyDescent="0.25">
      <c r="A313" s="15" t="s">
        <v>529</v>
      </c>
      <c r="B313" s="15" t="s">
        <v>1926</v>
      </c>
      <c r="C313" s="15" t="s">
        <v>1173</v>
      </c>
      <c r="D313" s="15">
        <v>9652571108</v>
      </c>
      <c r="E313" s="15" t="s">
        <v>1927</v>
      </c>
      <c r="F313" s="15" t="s">
        <v>1928</v>
      </c>
      <c r="G313" s="15" t="s">
        <v>1929</v>
      </c>
      <c r="H313" s="15"/>
    </row>
    <row r="314" spans="1:8" x14ac:dyDescent="0.25">
      <c r="A314" s="15" t="s">
        <v>530</v>
      </c>
      <c r="B314" s="15" t="s">
        <v>1930</v>
      </c>
      <c r="C314" s="15" t="s">
        <v>1327</v>
      </c>
      <c r="D314" s="15">
        <v>9506757800</v>
      </c>
      <c r="E314" s="15" t="s">
        <v>1931</v>
      </c>
      <c r="F314" s="15" t="s">
        <v>1932</v>
      </c>
      <c r="G314" s="15" t="s">
        <v>1933</v>
      </c>
      <c r="H314" s="15"/>
    </row>
    <row r="315" spans="1:8" x14ac:dyDescent="0.25">
      <c r="A315" s="15" t="s">
        <v>531</v>
      </c>
      <c r="B315" s="15" t="s">
        <v>1934</v>
      </c>
      <c r="C315" s="15" t="s">
        <v>384</v>
      </c>
      <c r="D315" s="15">
        <v>9654888239</v>
      </c>
      <c r="E315" s="15" t="s">
        <v>385</v>
      </c>
      <c r="F315" s="15" t="s">
        <v>1935</v>
      </c>
      <c r="G315" s="15" t="s">
        <v>1936</v>
      </c>
      <c r="H315" s="15"/>
    </row>
    <row r="316" spans="1:8" x14ac:dyDescent="0.25">
      <c r="A316" s="15" t="s">
        <v>532</v>
      </c>
      <c r="B316" s="15" t="s">
        <v>1937</v>
      </c>
      <c r="C316" s="15" t="s">
        <v>148</v>
      </c>
      <c r="D316" s="15">
        <v>9418942868</v>
      </c>
      <c r="E316" s="15" t="s">
        <v>1938</v>
      </c>
      <c r="F316" s="15" t="s">
        <v>1939</v>
      </c>
      <c r="G316" s="15" t="s">
        <v>1940</v>
      </c>
      <c r="H316" s="15"/>
    </row>
    <row r="317" spans="1:8" x14ac:dyDescent="0.25">
      <c r="A317" s="15" t="s">
        <v>533</v>
      </c>
      <c r="B317" s="15" t="s">
        <v>1941</v>
      </c>
      <c r="C317" s="15" t="s">
        <v>90</v>
      </c>
      <c r="D317" s="15">
        <v>9780480341</v>
      </c>
      <c r="E317" s="15" t="s">
        <v>1942</v>
      </c>
      <c r="F317" s="15" t="s">
        <v>1943</v>
      </c>
      <c r="G317" s="15" t="s">
        <v>1944</v>
      </c>
      <c r="H317" s="15"/>
    </row>
    <row r="318" spans="1:8" x14ac:dyDescent="0.25">
      <c r="A318" s="15" t="s">
        <v>534</v>
      </c>
      <c r="B318" s="15" t="s">
        <v>1945</v>
      </c>
      <c r="C318" s="15" t="s">
        <v>360</v>
      </c>
      <c r="D318" s="15">
        <v>9357953971</v>
      </c>
      <c r="E318" s="15" t="s">
        <v>1946</v>
      </c>
      <c r="F318" s="15" t="s">
        <v>1947</v>
      </c>
      <c r="G318" s="15" t="s">
        <v>1948</v>
      </c>
      <c r="H318" s="15"/>
    </row>
    <row r="319" spans="1:8" x14ac:dyDescent="0.25">
      <c r="A319" s="15" t="s">
        <v>535</v>
      </c>
      <c r="B319" s="15" t="s">
        <v>1949</v>
      </c>
      <c r="C319" s="15" t="s">
        <v>661</v>
      </c>
      <c r="D319" s="15">
        <v>9220550923</v>
      </c>
      <c r="E319" s="15" t="s">
        <v>1950</v>
      </c>
      <c r="F319" s="15" t="s">
        <v>1951</v>
      </c>
      <c r="G319" s="15" t="s">
        <v>1952</v>
      </c>
      <c r="H319" s="15"/>
    </row>
    <row r="320" spans="1:8" x14ac:dyDescent="0.25">
      <c r="A320" s="15" t="s">
        <v>536</v>
      </c>
      <c r="B320" s="15" t="s">
        <v>1953</v>
      </c>
      <c r="C320" s="15" t="s">
        <v>1954</v>
      </c>
      <c r="D320" s="15">
        <v>9343728882</v>
      </c>
      <c r="E320" s="15" t="s">
        <v>1955</v>
      </c>
      <c r="F320" s="15" t="s">
        <v>1956</v>
      </c>
      <c r="G320" s="15" t="s">
        <v>1957</v>
      </c>
      <c r="H320" s="15"/>
    </row>
    <row r="321" spans="1:8" x14ac:dyDescent="0.25">
      <c r="A321" s="15" t="s">
        <v>537</v>
      </c>
      <c r="B321" s="15" t="s">
        <v>1958</v>
      </c>
      <c r="C321" s="15" t="s">
        <v>445</v>
      </c>
      <c r="D321" s="15">
        <v>9186144827</v>
      </c>
      <c r="E321" s="15" t="s">
        <v>652</v>
      </c>
      <c r="F321" s="15" t="s">
        <v>1959</v>
      </c>
      <c r="G321" s="15" t="s">
        <v>1960</v>
      </c>
      <c r="H321" s="15"/>
    </row>
    <row r="322" spans="1:8" x14ac:dyDescent="0.25">
      <c r="A322" s="15" t="s">
        <v>538</v>
      </c>
      <c r="B322" s="15" t="s">
        <v>1961</v>
      </c>
      <c r="C322" s="15" t="s">
        <v>1962</v>
      </c>
      <c r="D322" s="15">
        <v>9912715736</v>
      </c>
      <c r="E322" s="15" t="s">
        <v>1963</v>
      </c>
      <c r="F322" s="15" t="s">
        <v>1964</v>
      </c>
      <c r="G322" s="15" t="s">
        <v>1965</v>
      </c>
      <c r="H322" s="15"/>
    </row>
    <row r="323" spans="1:8" x14ac:dyDescent="0.25">
      <c r="A323" s="15" t="s">
        <v>540</v>
      </c>
      <c r="B323" s="15" t="s">
        <v>1966</v>
      </c>
      <c r="C323" s="15" t="s">
        <v>378</v>
      </c>
      <c r="D323" s="15">
        <v>9610143884</v>
      </c>
      <c r="E323" s="15" t="s">
        <v>1967</v>
      </c>
      <c r="F323" s="15" t="s">
        <v>1968</v>
      </c>
      <c r="G323" s="15" t="s">
        <v>1969</v>
      </c>
      <c r="H323" s="15"/>
    </row>
    <row r="324" spans="1:8" x14ac:dyDescent="0.25">
      <c r="A324" s="15" t="s">
        <v>542</v>
      </c>
      <c r="B324" s="15" t="s">
        <v>1970</v>
      </c>
      <c r="C324" s="15" t="s">
        <v>128</v>
      </c>
      <c r="D324" s="15">
        <v>9853692796</v>
      </c>
      <c r="E324" s="15" t="s">
        <v>1971</v>
      </c>
      <c r="F324" s="15" t="s">
        <v>436</v>
      </c>
      <c r="G324" s="15" t="s">
        <v>1972</v>
      </c>
      <c r="H324" s="15"/>
    </row>
    <row r="325" spans="1:8" x14ac:dyDescent="0.25">
      <c r="A325" s="15" t="s">
        <v>543</v>
      </c>
      <c r="B325" s="15" t="s">
        <v>1973</v>
      </c>
      <c r="C325" s="15" t="s">
        <v>831</v>
      </c>
      <c r="D325" s="15">
        <v>9194172898</v>
      </c>
      <c r="E325" s="15" t="s">
        <v>1974</v>
      </c>
      <c r="F325" s="15" t="s">
        <v>1975</v>
      </c>
      <c r="G325" s="15" t="s">
        <v>1976</v>
      </c>
      <c r="H325" s="15"/>
    </row>
    <row r="326" spans="1:8" x14ac:dyDescent="0.25">
      <c r="A326" s="15" t="s">
        <v>545</v>
      </c>
      <c r="B326" s="15" t="s">
        <v>1977</v>
      </c>
      <c r="C326" s="15" t="s">
        <v>1738</v>
      </c>
      <c r="D326" s="15">
        <v>9112505877</v>
      </c>
      <c r="E326" s="15" t="s">
        <v>1978</v>
      </c>
      <c r="F326" s="15" t="s">
        <v>1979</v>
      </c>
      <c r="G326" s="15" t="s">
        <v>1980</v>
      </c>
      <c r="H326" s="15"/>
    </row>
    <row r="327" spans="1:8" x14ac:dyDescent="0.25">
      <c r="A327" s="15" t="s">
        <v>546</v>
      </c>
      <c r="B327" s="15" t="s">
        <v>1981</v>
      </c>
      <c r="C327" s="15" t="s">
        <v>1601</v>
      </c>
      <c r="D327" s="15">
        <v>9748319526</v>
      </c>
      <c r="E327" s="15" t="s">
        <v>1982</v>
      </c>
      <c r="F327" s="15" t="s">
        <v>1983</v>
      </c>
      <c r="G327" s="15" t="s">
        <v>1984</v>
      </c>
      <c r="H327" s="15"/>
    </row>
    <row r="328" spans="1:8" x14ac:dyDescent="0.25">
      <c r="A328" s="15" t="s">
        <v>547</v>
      </c>
      <c r="B328" s="15" t="s">
        <v>1985</v>
      </c>
      <c r="C328" s="15" t="s">
        <v>139</v>
      </c>
      <c r="D328" s="15">
        <v>9307391058</v>
      </c>
      <c r="E328" s="15" t="s">
        <v>1986</v>
      </c>
      <c r="F328" s="15" t="s">
        <v>1987</v>
      </c>
      <c r="G328" s="15" t="s">
        <v>1988</v>
      </c>
      <c r="H328" s="15"/>
    </row>
    <row r="329" spans="1:8" x14ac:dyDescent="0.25">
      <c r="A329" s="15" t="s">
        <v>548</v>
      </c>
      <c r="B329" s="15" t="s">
        <v>1989</v>
      </c>
      <c r="C329" s="15" t="s">
        <v>84</v>
      </c>
      <c r="D329" s="15">
        <v>9377478360</v>
      </c>
      <c r="E329" s="15" t="s">
        <v>1990</v>
      </c>
      <c r="F329" s="15" t="s">
        <v>1991</v>
      </c>
      <c r="G329" s="15" t="s">
        <v>1992</v>
      </c>
      <c r="H329" s="15"/>
    </row>
    <row r="330" spans="1:8" x14ac:dyDescent="0.25">
      <c r="A330" s="15" t="s">
        <v>549</v>
      </c>
      <c r="B330" s="15" t="s">
        <v>1993</v>
      </c>
      <c r="C330" s="15" t="s">
        <v>661</v>
      </c>
      <c r="D330" s="15">
        <v>9917593897</v>
      </c>
      <c r="E330" s="15" t="s">
        <v>1994</v>
      </c>
      <c r="F330" s="15" t="s">
        <v>1995</v>
      </c>
      <c r="G330" s="15" t="s">
        <v>1996</v>
      </c>
      <c r="H330" s="15"/>
    </row>
    <row r="331" spans="1:8" x14ac:dyDescent="0.25">
      <c r="A331" s="15" t="s">
        <v>551</v>
      </c>
      <c r="B331" s="15" t="s">
        <v>1997</v>
      </c>
      <c r="C331" s="15" t="s">
        <v>96</v>
      </c>
      <c r="D331" s="15">
        <v>9133973841</v>
      </c>
      <c r="E331" s="15" t="s">
        <v>97</v>
      </c>
      <c r="F331" s="15" t="s">
        <v>1998</v>
      </c>
      <c r="G331" s="15" t="s">
        <v>1999</v>
      </c>
      <c r="H331" s="15"/>
    </row>
    <row r="332" spans="1:8" x14ac:dyDescent="0.25">
      <c r="A332" s="15" t="s">
        <v>552</v>
      </c>
      <c r="B332" s="15" t="s">
        <v>2000</v>
      </c>
      <c r="C332" s="15" t="s">
        <v>233</v>
      </c>
      <c r="D332" s="15">
        <v>9755890433</v>
      </c>
      <c r="E332" s="15" t="s">
        <v>2001</v>
      </c>
      <c r="F332" s="15" t="s">
        <v>2002</v>
      </c>
      <c r="G332" s="15" t="s">
        <v>2003</v>
      </c>
      <c r="H332" s="15"/>
    </row>
    <row r="333" spans="1:8" x14ac:dyDescent="0.25">
      <c r="A333" s="15" t="s">
        <v>553</v>
      </c>
      <c r="B333" s="15" t="s">
        <v>2004</v>
      </c>
      <c r="C333" s="15" t="s">
        <v>445</v>
      </c>
      <c r="D333" s="15">
        <v>9146875275</v>
      </c>
      <c r="E333" s="15" t="s">
        <v>1542</v>
      </c>
      <c r="F333" s="15" t="s">
        <v>2005</v>
      </c>
      <c r="G333" s="15" t="s">
        <v>2006</v>
      </c>
      <c r="H333" s="15"/>
    </row>
    <row r="334" spans="1:8" x14ac:dyDescent="0.25">
      <c r="A334" s="15" t="s">
        <v>554</v>
      </c>
      <c r="B334" s="15" t="s">
        <v>2007</v>
      </c>
      <c r="C334" s="15" t="s">
        <v>188</v>
      </c>
      <c r="D334" s="15">
        <v>9460245919</v>
      </c>
      <c r="E334" s="15" t="s">
        <v>2008</v>
      </c>
      <c r="F334" s="15" t="s">
        <v>2009</v>
      </c>
      <c r="G334" s="15" t="s">
        <v>2010</v>
      </c>
      <c r="H334" s="15"/>
    </row>
    <row r="335" spans="1:8" x14ac:dyDescent="0.25">
      <c r="A335" s="15" t="s">
        <v>555</v>
      </c>
      <c r="B335" s="15" t="s">
        <v>2011</v>
      </c>
      <c r="C335" s="15" t="s">
        <v>2012</v>
      </c>
      <c r="D335" s="15">
        <v>9880570683</v>
      </c>
      <c r="E335" s="15" t="s">
        <v>2013</v>
      </c>
      <c r="F335" s="15" t="s">
        <v>2014</v>
      </c>
      <c r="G335" s="15" t="s">
        <v>2015</v>
      </c>
      <c r="H335" s="15"/>
    </row>
    <row r="336" spans="1:8" x14ac:dyDescent="0.25">
      <c r="A336" s="15" t="s">
        <v>556</v>
      </c>
      <c r="B336" s="15" t="s">
        <v>2016</v>
      </c>
      <c r="C336" s="15" t="s">
        <v>226</v>
      </c>
      <c r="D336" s="15">
        <v>9715819663</v>
      </c>
      <c r="E336" s="15" t="s">
        <v>2017</v>
      </c>
      <c r="F336" s="15" t="s">
        <v>2018</v>
      </c>
      <c r="G336" s="15" t="s">
        <v>2019</v>
      </c>
      <c r="H336" s="15"/>
    </row>
    <row r="337" spans="1:8" x14ac:dyDescent="0.25">
      <c r="A337" s="15" t="s">
        <v>557</v>
      </c>
      <c r="B337" s="15" t="s">
        <v>2020</v>
      </c>
      <c r="C337" s="15" t="s">
        <v>680</v>
      </c>
      <c r="D337" s="15">
        <v>9781421568</v>
      </c>
      <c r="E337" s="15" t="s">
        <v>2021</v>
      </c>
      <c r="F337" s="15" t="s">
        <v>2022</v>
      </c>
      <c r="G337" s="15" t="s">
        <v>2023</v>
      </c>
      <c r="H337" s="15"/>
    </row>
    <row r="338" spans="1:8" x14ac:dyDescent="0.25">
      <c r="A338" s="15" t="s">
        <v>558</v>
      </c>
      <c r="B338" s="15" t="s">
        <v>2024</v>
      </c>
      <c r="C338" s="15" t="s">
        <v>721</v>
      </c>
      <c r="D338" s="15">
        <v>9646434771</v>
      </c>
      <c r="E338" s="15" t="s">
        <v>2025</v>
      </c>
      <c r="F338" s="15" t="s">
        <v>2026</v>
      </c>
      <c r="G338" s="15" t="s">
        <v>2027</v>
      </c>
      <c r="H338" s="15"/>
    </row>
    <row r="339" spans="1:8" x14ac:dyDescent="0.25">
      <c r="A339" s="15" t="s">
        <v>559</v>
      </c>
      <c r="B339" s="15" t="s">
        <v>2028</v>
      </c>
      <c r="C339" s="15" t="s">
        <v>1195</v>
      </c>
      <c r="D339" s="15">
        <v>9940273131</v>
      </c>
      <c r="E339" s="15" t="s">
        <v>2029</v>
      </c>
      <c r="F339" s="15" t="s">
        <v>2030</v>
      </c>
      <c r="G339" s="15" t="s">
        <v>2031</v>
      </c>
      <c r="H339" s="15"/>
    </row>
    <row r="340" spans="1:8" x14ac:dyDescent="0.25">
      <c r="A340" s="15" t="s">
        <v>561</v>
      </c>
      <c r="B340" s="15" t="s">
        <v>2032</v>
      </c>
      <c r="C340" s="15" t="s">
        <v>2033</v>
      </c>
      <c r="D340" s="15">
        <v>9820906031</v>
      </c>
      <c r="E340" s="15" t="s">
        <v>2034</v>
      </c>
      <c r="F340" s="15" t="s">
        <v>2035</v>
      </c>
      <c r="G340" s="15" t="s">
        <v>2036</v>
      </c>
      <c r="H340" s="15"/>
    </row>
    <row r="341" spans="1:8" x14ac:dyDescent="0.25">
      <c r="A341" s="15" t="s">
        <v>563</v>
      </c>
      <c r="B341" s="15" t="s">
        <v>2037</v>
      </c>
      <c r="C341" s="15" t="s">
        <v>2038</v>
      </c>
      <c r="D341" s="15">
        <v>9872936618</v>
      </c>
      <c r="E341" s="15" t="s">
        <v>2039</v>
      </c>
      <c r="F341" s="15" t="s">
        <v>2040</v>
      </c>
      <c r="G341" s="15" t="s">
        <v>2041</v>
      </c>
      <c r="H341" s="15"/>
    </row>
    <row r="342" spans="1:8" x14ac:dyDescent="0.25">
      <c r="A342" s="15" t="s">
        <v>564</v>
      </c>
      <c r="B342" s="15" t="s">
        <v>560</v>
      </c>
      <c r="C342" s="15" t="s">
        <v>354</v>
      </c>
      <c r="D342" s="15">
        <v>9426672250</v>
      </c>
      <c r="E342" s="15" t="s">
        <v>2042</v>
      </c>
      <c r="F342" s="15" t="s">
        <v>2043</v>
      </c>
      <c r="G342" s="15" t="s">
        <v>2044</v>
      </c>
      <c r="H342" s="15"/>
    </row>
    <row r="343" spans="1:8" x14ac:dyDescent="0.25">
      <c r="A343" s="15" t="s">
        <v>565</v>
      </c>
      <c r="B343" s="15" t="s">
        <v>2045</v>
      </c>
      <c r="C343" s="15" t="s">
        <v>1840</v>
      </c>
      <c r="D343" s="15">
        <v>9376530648</v>
      </c>
      <c r="E343" s="15" t="s">
        <v>2046</v>
      </c>
      <c r="F343" s="15" t="s">
        <v>2047</v>
      </c>
      <c r="G343" s="15" t="s">
        <v>2048</v>
      </c>
      <c r="H343" s="15"/>
    </row>
    <row r="344" spans="1:8" x14ac:dyDescent="0.25">
      <c r="A344" s="15" t="s">
        <v>567</v>
      </c>
      <c r="B344" s="15" t="s">
        <v>2049</v>
      </c>
      <c r="C344" s="15" t="s">
        <v>153</v>
      </c>
      <c r="D344" s="15">
        <v>9315121733</v>
      </c>
      <c r="E344" s="15" t="s">
        <v>2050</v>
      </c>
      <c r="F344" s="15" t="s">
        <v>2051</v>
      </c>
      <c r="G344" s="15" t="s">
        <v>2052</v>
      </c>
      <c r="H344" s="15"/>
    </row>
    <row r="345" spans="1:8" x14ac:dyDescent="0.25">
      <c r="A345" s="15" t="s">
        <v>569</v>
      </c>
      <c r="B345" s="15" t="s">
        <v>2053</v>
      </c>
      <c r="C345" s="15" t="s">
        <v>324</v>
      </c>
      <c r="D345" s="15">
        <v>9152185013</v>
      </c>
      <c r="E345" s="15" t="s">
        <v>2054</v>
      </c>
      <c r="F345" s="15" t="s">
        <v>2055</v>
      </c>
      <c r="G345" s="15" t="s">
        <v>2056</v>
      </c>
      <c r="H345" s="15"/>
    </row>
    <row r="346" spans="1:8" x14ac:dyDescent="0.25">
      <c r="A346" s="15" t="s">
        <v>571</v>
      </c>
      <c r="B346" s="15" t="s">
        <v>2057</v>
      </c>
      <c r="C346" s="15" t="s">
        <v>317</v>
      </c>
      <c r="D346" s="15">
        <v>9116113610</v>
      </c>
      <c r="E346" s="15" t="s">
        <v>2058</v>
      </c>
      <c r="F346" s="15" t="s">
        <v>2059</v>
      </c>
      <c r="G346" s="15" t="s">
        <v>2060</v>
      </c>
      <c r="H346" s="15"/>
    </row>
    <row r="347" spans="1:8" x14ac:dyDescent="0.25">
      <c r="A347" s="15" t="s">
        <v>572</v>
      </c>
      <c r="B347" s="15" t="s">
        <v>2061</v>
      </c>
      <c r="C347" s="15" t="s">
        <v>1165</v>
      </c>
      <c r="D347" s="15">
        <v>9544821036</v>
      </c>
      <c r="E347" s="15" t="s">
        <v>2062</v>
      </c>
      <c r="F347" s="15" t="s">
        <v>2063</v>
      </c>
      <c r="G347" s="15" t="s">
        <v>2064</v>
      </c>
      <c r="H347" s="15"/>
    </row>
    <row r="348" spans="1:8" x14ac:dyDescent="0.25">
      <c r="A348" s="15" t="s">
        <v>574</v>
      </c>
      <c r="B348" s="15" t="s">
        <v>2065</v>
      </c>
      <c r="C348" s="15" t="s">
        <v>759</v>
      </c>
      <c r="D348" s="15">
        <v>9440259851</v>
      </c>
      <c r="E348" s="15" t="s">
        <v>2066</v>
      </c>
      <c r="F348" s="15" t="s">
        <v>2067</v>
      </c>
      <c r="G348" s="15" t="s">
        <v>2068</v>
      </c>
      <c r="H348" s="15"/>
    </row>
    <row r="349" spans="1:8" x14ac:dyDescent="0.25">
      <c r="A349" s="15" t="s">
        <v>576</v>
      </c>
      <c r="B349" s="15" t="s">
        <v>2069</v>
      </c>
      <c r="C349" s="15" t="s">
        <v>273</v>
      </c>
      <c r="D349" s="15">
        <v>9326003377</v>
      </c>
      <c r="E349" s="15" t="s">
        <v>2070</v>
      </c>
      <c r="F349" s="15" t="s">
        <v>2071</v>
      </c>
      <c r="G349" s="15" t="s">
        <v>2072</v>
      </c>
      <c r="H349" s="15"/>
    </row>
    <row r="350" spans="1:8" x14ac:dyDescent="0.25">
      <c r="A350" s="15" t="s">
        <v>578</v>
      </c>
      <c r="B350" s="15" t="s">
        <v>2073</v>
      </c>
      <c r="C350" s="15" t="s">
        <v>1654</v>
      </c>
      <c r="D350" s="15">
        <v>9695921101</v>
      </c>
      <c r="E350" s="15" t="s">
        <v>2074</v>
      </c>
      <c r="F350" s="15" t="s">
        <v>2075</v>
      </c>
      <c r="G350" s="15" t="s">
        <v>2076</v>
      </c>
      <c r="H350" s="15"/>
    </row>
    <row r="351" spans="1:8" x14ac:dyDescent="0.25">
      <c r="A351" s="15" t="s">
        <v>579</v>
      </c>
      <c r="B351" s="15" t="s">
        <v>2077</v>
      </c>
      <c r="C351" s="15" t="s">
        <v>78</v>
      </c>
      <c r="D351" s="15">
        <v>9795039930</v>
      </c>
      <c r="E351" s="15" t="s">
        <v>2078</v>
      </c>
      <c r="F351" s="15" t="s">
        <v>2079</v>
      </c>
      <c r="G351" s="15" t="s">
        <v>2080</v>
      </c>
      <c r="H351" s="15"/>
    </row>
    <row r="352" spans="1:8" x14ac:dyDescent="0.25">
      <c r="A352" s="15" t="s">
        <v>582</v>
      </c>
      <c r="B352" s="15" t="s">
        <v>2081</v>
      </c>
      <c r="C352" s="15" t="s">
        <v>235</v>
      </c>
      <c r="D352" s="15">
        <v>9241588570</v>
      </c>
      <c r="E352" s="15" t="s">
        <v>2082</v>
      </c>
      <c r="F352" s="15" t="s">
        <v>2083</v>
      </c>
      <c r="G352" s="15" t="s">
        <v>2084</v>
      </c>
      <c r="H352" s="15"/>
    </row>
    <row r="353" spans="1:8" x14ac:dyDescent="0.25">
      <c r="A353" s="15" t="s">
        <v>583</v>
      </c>
      <c r="B353" s="15" t="s">
        <v>266</v>
      </c>
      <c r="C353" s="15" t="s">
        <v>489</v>
      </c>
      <c r="D353" s="15">
        <v>9196542533</v>
      </c>
      <c r="E353" s="15" t="s">
        <v>2085</v>
      </c>
      <c r="F353" s="15" t="s">
        <v>2086</v>
      </c>
      <c r="G353" s="15" t="s">
        <v>2087</v>
      </c>
      <c r="H353" s="15"/>
    </row>
    <row r="354" spans="1:8" x14ac:dyDescent="0.25">
      <c r="A354" s="15" t="s">
        <v>584</v>
      </c>
      <c r="B354" s="15" t="s">
        <v>2088</v>
      </c>
      <c r="C354" s="15" t="s">
        <v>597</v>
      </c>
      <c r="D354" s="15">
        <v>9295227095</v>
      </c>
      <c r="E354" s="15" t="s">
        <v>2089</v>
      </c>
      <c r="F354" s="15" t="s">
        <v>2090</v>
      </c>
      <c r="G354" s="15" t="s">
        <v>2091</v>
      </c>
      <c r="H354" s="15"/>
    </row>
    <row r="355" spans="1:8" x14ac:dyDescent="0.25">
      <c r="A355" s="15" t="s">
        <v>585</v>
      </c>
      <c r="B355" s="15" t="s">
        <v>2092</v>
      </c>
      <c r="C355" s="15" t="s">
        <v>2093</v>
      </c>
      <c r="D355" s="15">
        <v>9861962399</v>
      </c>
      <c r="E355" s="15" t="s">
        <v>2094</v>
      </c>
      <c r="F355" s="15" t="s">
        <v>2095</v>
      </c>
      <c r="G355" s="15" t="s">
        <v>2096</v>
      </c>
      <c r="H355" s="15"/>
    </row>
    <row r="356" spans="1:8" x14ac:dyDescent="0.25">
      <c r="A356" s="15" t="s">
        <v>586</v>
      </c>
      <c r="B356" s="15" t="s">
        <v>2097</v>
      </c>
      <c r="C356" s="15" t="s">
        <v>172</v>
      </c>
      <c r="D356" s="15">
        <v>9128424479</v>
      </c>
      <c r="E356" s="15" t="s">
        <v>2098</v>
      </c>
      <c r="F356" s="15" t="s">
        <v>2099</v>
      </c>
      <c r="G356" s="15" t="s">
        <v>2100</v>
      </c>
      <c r="H356" s="15"/>
    </row>
    <row r="357" spans="1:8" x14ac:dyDescent="0.25">
      <c r="A357" s="15" t="s">
        <v>587</v>
      </c>
      <c r="B357" s="15" t="s">
        <v>2101</v>
      </c>
      <c r="C357" s="15" t="s">
        <v>207</v>
      </c>
      <c r="D357" s="15">
        <v>9540156179</v>
      </c>
      <c r="E357" s="15" t="s">
        <v>2102</v>
      </c>
      <c r="F357" s="15" t="s">
        <v>2103</v>
      </c>
      <c r="G357" s="15" t="s">
        <v>2104</v>
      </c>
      <c r="H357" s="15"/>
    </row>
    <row r="358" spans="1:8" x14ac:dyDescent="0.25">
      <c r="A358" s="15" t="s">
        <v>588</v>
      </c>
      <c r="B358" s="15" t="s">
        <v>2105</v>
      </c>
      <c r="C358" s="15" t="s">
        <v>107</v>
      </c>
      <c r="D358" s="15">
        <v>9480431333</v>
      </c>
      <c r="E358" s="15" t="s">
        <v>2106</v>
      </c>
      <c r="F358" s="15" t="s">
        <v>2107</v>
      </c>
      <c r="G358" s="15" t="s">
        <v>2108</v>
      </c>
      <c r="H358" s="15"/>
    </row>
    <row r="359" spans="1:8" x14ac:dyDescent="0.25">
      <c r="A359" s="15" t="s">
        <v>590</v>
      </c>
      <c r="B359" s="15" t="s">
        <v>2109</v>
      </c>
      <c r="C359" s="15" t="s">
        <v>278</v>
      </c>
      <c r="D359" s="15">
        <v>9925923933</v>
      </c>
      <c r="E359" s="15" t="s">
        <v>2110</v>
      </c>
      <c r="F359" s="15" t="s">
        <v>2111</v>
      </c>
      <c r="G359" s="15" t="s">
        <v>2112</v>
      </c>
      <c r="H359" s="15"/>
    </row>
    <row r="360" spans="1:8" x14ac:dyDescent="0.25">
      <c r="A360" s="15" t="s">
        <v>591</v>
      </c>
      <c r="B360" s="15" t="s">
        <v>2113</v>
      </c>
      <c r="C360" s="15" t="s">
        <v>278</v>
      </c>
      <c r="D360" s="15">
        <v>9368148639</v>
      </c>
      <c r="E360" s="15" t="s">
        <v>2114</v>
      </c>
      <c r="F360" s="15" t="s">
        <v>2115</v>
      </c>
      <c r="G360" s="15" t="s">
        <v>2116</v>
      </c>
      <c r="H360" s="15"/>
    </row>
    <row r="361" spans="1:8" x14ac:dyDescent="0.25">
      <c r="A361" s="15" t="s">
        <v>592</v>
      </c>
      <c r="B361" s="15" t="s">
        <v>2117</v>
      </c>
      <c r="C361" s="15" t="s">
        <v>78</v>
      </c>
      <c r="D361" s="15">
        <v>9931011988</v>
      </c>
      <c r="E361" s="15" t="s">
        <v>2118</v>
      </c>
      <c r="F361" s="15" t="s">
        <v>2119</v>
      </c>
      <c r="G361" s="15" t="s">
        <v>2120</v>
      </c>
      <c r="H361" s="15"/>
    </row>
    <row r="362" spans="1:8" x14ac:dyDescent="0.25">
      <c r="A362" s="15" t="s">
        <v>593</v>
      </c>
      <c r="B362" s="15" t="s">
        <v>2121</v>
      </c>
      <c r="C362" s="15" t="s">
        <v>273</v>
      </c>
      <c r="D362" s="15">
        <v>9425030809</v>
      </c>
      <c r="E362" s="15" t="s">
        <v>2122</v>
      </c>
      <c r="F362" s="15" t="s">
        <v>2123</v>
      </c>
      <c r="G362" s="15" t="s">
        <v>2124</v>
      </c>
      <c r="H362" s="15"/>
    </row>
    <row r="363" spans="1:8" x14ac:dyDescent="0.25">
      <c r="A363" s="15" t="s">
        <v>594</v>
      </c>
      <c r="B363" s="15" t="s">
        <v>2125</v>
      </c>
      <c r="C363" s="15" t="s">
        <v>2126</v>
      </c>
      <c r="D363" s="15">
        <v>9464578055</v>
      </c>
      <c r="E363" s="15" t="s">
        <v>2127</v>
      </c>
      <c r="F363" s="15" t="s">
        <v>2128</v>
      </c>
      <c r="G363" s="15" t="s">
        <v>2129</v>
      </c>
      <c r="H363" s="15"/>
    </row>
    <row r="364" spans="1:8" x14ac:dyDescent="0.25">
      <c r="A364" s="15" t="s">
        <v>595</v>
      </c>
      <c r="B364" s="15" t="s">
        <v>2130</v>
      </c>
      <c r="C364" s="15" t="s">
        <v>240</v>
      </c>
      <c r="D364" s="15">
        <v>9642004474</v>
      </c>
      <c r="E364" s="15" t="s">
        <v>1787</v>
      </c>
      <c r="F364" s="15" t="s">
        <v>2131</v>
      </c>
      <c r="G364" s="15" t="s">
        <v>2132</v>
      </c>
      <c r="H364" s="15"/>
    </row>
    <row r="365" spans="1:8" x14ac:dyDescent="0.25">
      <c r="A365" s="15" t="s">
        <v>596</v>
      </c>
      <c r="B365" s="15" t="s">
        <v>2133</v>
      </c>
      <c r="C365" s="15" t="s">
        <v>1148</v>
      </c>
      <c r="D365" s="15">
        <v>9218485110</v>
      </c>
      <c r="E365" s="15" t="s">
        <v>2134</v>
      </c>
      <c r="F365" s="15" t="s">
        <v>2135</v>
      </c>
      <c r="G365" s="15" t="s">
        <v>2136</v>
      </c>
      <c r="H365" s="15"/>
    </row>
    <row r="366" spans="1:8" x14ac:dyDescent="0.25">
      <c r="A366" s="15" t="s">
        <v>598</v>
      </c>
      <c r="B366" s="15" t="s">
        <v>2137</v>
      </c>
      <c r="C366" s="15" t="s">
        <v>132</v>
      </c>
      <c r="D366" s="15">
        <v>9680291533</v>
      </c>
      <c r="E366" s="15" t="s">
        <v>2138</v>
      </c>
      <c r="F366" s="15" t="s">
        <v>2139</v>
      </c>
      <c r="G366" s="15" t="s">
        <v>2140</v>
      </c>
      <c r="H366" s="15"/>
    </row>
    <row r="367" spans="1:8" x14ac:dyDescent="0.25">
      <c r="A367" s="15" t="s">
        <v>599</v>
      </c>
      <c r="B367" s="15" t="s">
        <v>2141</v>
      </c>
      <c r="C367" s="15" t="s">
        <v>394</v>
      </c>
      <c r="D367" s="15">
        <v>9177726306</v>
      </c>
      <c r="E367" s="15" t="s">
        <v>2142</v>
      </c>
      <c r="F367" s="15" t="s">
        <v>2143</v>
      </c>
      <c r="G367" s="15" t="s">
        <v>2144</v>
      </c>
      <c r="H367" s="15"/>
    </row>
    <row r="368" spans="1:8" x14ac:dyDescent="0.25">
      <c r="A368" s="15" t="s">
        <v>600</v>
      </c>
      <c r="B368" s="15" t="s">
        <v>2145</v>
      </c>
      <c r="C368" s="15" t="s">
        <v>1759</v>
      </c>
      <c r="D368" s="15">
        <v>9151385844</v>
      </c>
      <c r="E368" s="15" t="s">
        <v>2146</v>
      </c>
      <c r="F368" s="15" t="s">
        <v>2147</v>
      </c>
      <c r="G368" s="15" t="s">
        <v>2148</v>
      </c>
      <c r="H368" s="15"/>
    </row>
    <row r="369" spans="1:8" x14ac:dyDescent="0.25">
      <c r="A369" s="15" t="s">
        <v>602</v>
      </c>
      <c r="B369" s="15" t="s">
        <v>2149</v>
      </c>
      <c r="C369" s="15" t="s">
        <v>1473</v>
      </c>
      <c r="D369" s="15">
        <v>9684082888</v>
      </c>
      <c r="E369" s="15" t="s">
        <v>2150</v>
      </c>
      <c r="F369" s="15" t="s">
        <v>2151</v>
      </c>
      <c r="G369" s="15" t="s">
        <v>2152</v>
      </c>
      <c r="H369" s="15"/>
    </row>
    <row r="370" spans="1:8" x14ac:dyDescent="0.25">
      <c r="A370" s="15" t="s">
        <v>603</v>
      </c>
      <c r="B370" s="15" t="s">
        <v>2153</v>
      </c>
      <c r="C370" s="15" t="s">
        <v>230</v>
      </c>
      <c r="D370" s="15">
        <v>9511216959</v>
      </c>
      <c r="E370" s="15" t="s">
        <v>2154</v>
      </c>
      <c r="F370" s="15" t="s">
        <v>2155</v>
      </c>
      <c r="G370" s="15" t="s">
        <v>2156</v>
      </c>
      <c r="H370" s="15"/>
    </row>
    <row r="371" spans="1:8" x14ac:dyDescent="0.25">
      <c r="A371" s="15" t="s">
        <v>605</v>
      </c>
      <c r="B371" s="15" t="s">
        <v>2157</v>
      </c>
      <c r="C371" s="15" t="s">
        <v>82</v>
      </c>
      <c r="D371" s="15">
        <v>9755957168</v>
      </c>
      <c r="E371" s="15" t="s">
        <v>2158</v>
      </c>
      <c r="F371" s="15" t="s">
        <v>2159</v>
      </c>
      <c r="G371" s="15" t="s">
        <v>2160</v>
      </c>
      <c r="H371" s="15"/>
    </row>
    <row r="372" spans="1:8" x14ac:dyDescent="0.25">
      <c r="A372" s="15" t="s">
        <v>607</v>
      </c>
      <c r="B372" s="15" t="s">
        <v>2161</v>
      </c>
      <c r="C372" s="15" t="s">
        <v>819</v>
      </c>
      <c r="D372" s="15">
        <v>9535745242</v>
      </c>
      <c r="E372" s="15" t="s">
        <v>2162</v>
      </c>
      <c r="F372" s="15" t="s">
        <v>2163</v>
      </c>
      <c r="G372" s="15" t="s">
        <v>2164</v>
      </c>
      <c r="H372" s="15"/>
    </row>
    <row r="373" spans="1:8" x14ac:dyDescent="0.25">
      <c r="A373" s="15" t="s">
        <v>609</v>
      </c>
      <c r="B373" s="15" t="s">
        <v>541</v>
      </c>
      <c r="C373" s="15" t="s">
        <v>2165</v>
      </c>
      <c r="D373" s="15">
        <v>9795063260</v>
      </c>
      <c r="E373" s="15" t="s">
        <v>2166</v>
      </c>
      <c r="F373" s="15" t="s">
        <v>389</v>
      </c>
      <c r="G373" s="15" t="s">
        <v>2167</v>
      </c>
      <c r="H373" s="15"/>
    </row>
    <row r="374" spans="1:8" x14ac:dyDescent="0.25">
      <c r="A374" s="15" t="s">
        <v>610</v>
      </c>
      <c r="B374" s="15" t="s">
        <v>2168</v>
      </c>
      <c r="C374" s="15" t="s">
        <v>608</v>
      </c>
      <c r="D374" s="15">
        <v>9168846121</v>
      </c>
      <c r="E374" s="15" t="s">
        <v>2169</v>
      </c>
      <c r="F374" s="15" t="s">
        <v>2170</v>
      </c>
      <c r="G374" s="15" t="s">
        <v>2171</v>
      </c>
      <c r="H374" s="15"/>
    </row>
    <row r="375" spans="1:8" x14ac:dyDescent="0.25">
      <c r="A375" s="15" t="s">
        <v>611</v>
      </c>
      <c r="B375" s="15" t="s">
        <v>2172</v>
      </c>
      <c r="C375" s="15" t="s">
        <v>721</v>
      </c>
      <c r="D375" s="15">
        <v>9660539725</v>
      </c>
      <c r="E375" s="15" t="s">
        <v>2173</v>
      </c>
      <c r="F375" s="15" t="s">
        <v>2174</v>
      </c>
      <c r="G375" s="15" t="s">
        <v>2175</v>
      </c>
      <c r="H375" s="15"/>
    </row>
    <row r="376" spans="1:8" x14ac:dyDescent="0.25">
      <c r="A376" s="15" t="s">
        <v>612</v>
      </c>
      <c r="B376" s="15" t="s">
        <v>2176</v>
      </c>
      <c r="C376" s="15" t="s">
        <v>360</v>
      </c>
      <c r="D376" s="15">
        <v>9319946830</v>
      </c>
      <c r="E376" s="15" t="s">
        <v>2177</v>
      </c>
      <c r="F376" s="15" t="s">
        <v>2178</v>
      </c>
      <c r="G376" s="15" t="s">
        <v>2179</v>
      </c>
      <c r="H376" s="15"/>
    </row>
    <row r="377" spans="1:8" x14ac:dyDescent="0.25">
      <c r="A377" s="15" t="s">
        <v>613</v>
      </c>
      <c r="B377" s="15" t="s">
        <v>2180</v>
      </c>
      <c r="C377" s="15" t="s">
        <v>516</v>
      </c>
      <c r="D377" s="15">
        <v>9988461000</v>
      </c>
      <c r="E377" s="15" t="s">
        <v>2181</v>
      </c>
      <c r="F377" s="15" t="s">
        <v>2182</v>
      </c>
      <c r="G377" s="15" t="s">
        <v>2183</v>
      </c>
      <c r="H377" s="15"/>
    </row>
    <row r="378" spans="1:8" x14ac:dyDescent="0.25">
      <c r="A378" s="15" t="s">
        <v>614</v>
      </c>
      <c r="B378" s="15" t="s">
        <v>2184</v>
      </c>
      <c r="C378" s="15" t="s">
        <v>170</v>
      </c>
      <c r="D378" s="15">
        <v>9854434373</v>
      </c>
      <c r="E378" s="15" t="s">
        <v>2185</v>
      </c>
      <c r="F378" s="15" t="s">
        <v>2186</v>
      </c>
      <c r="G378" s="15" t="s">
        <v>2187</v>
      </c>
      <c r="H378" s="15"/>
    </row>
    <row r="379" spans="1:8" x14ac:dyDescent="0.25">
      <c r="A379" s="15" t="s">
        <v>616</v>
      </c>
      <c r="B379" s="15" t="s">
        <v>2188</v>
      </c>
      <c r="C379" s="15" t="s">
        <v>1485</v>
      </c>
      <c r="D379" s="15">
        <v>9194489569</v>
      </c>
      <c r="E379" s="15" t="s">
        <v>2189</v>
      </c>
      <c r="F379" s="15" t="s">
        <v>2190</v>
      </c>
      <c r="G379" s="15" t="s">
        <v>2191</v>
      </c>
      <c r="H379" s="15"/>
    </row>
    <row r="380" spans="1:8" x14ac:dyDescent="0.25">
      <c r="A380" s="15" t="s">
        <v>617</v>
      </c>
      <c r="B380" s="15" t="s">
        <v>2192</v>
      </c>
      <c r="C380" s="15" t="s">
        <v>2193</v>
      </c>
      <c r="D380" s="15">
        <v>9287382363</v>
      </c>
      <c r="E380" s="15" t="s">
        <v>2194</v>
      </c>
      <c r="F380" s="15" t="s">
        <v>2195</v>
      </c>
      <c r="G380" s="15" t="s">
        <v>2196</v>
      </c>
      <c r="H380" s="15"/>
    </row>
    <row r="381" spans="1:8" x14ac:dyDescent="0.25">
      <c r="A381" s="15" t="s">
        <v>618</v>
      </c>
      <c r="B381" s="15" t="s">
        <v>2197</v>
      </c>
      <c r="C381" s="15" t="s">
        <v>337</v>
      </c>
      <c r="D381" s="15">
        <v>9661981732</v>
      </c>
      <c r="E381" s="15" t="s">
        <v>2198</v>
      </c>
      <c r="F381" s="15" t="s">
        <v>2199</v>
      </c>
      <c r="G381" s="15" t="s">
        <v>2200</v>
      </c>
      <c r="H381" s="15"/>
    </row>
    <row r="382" spans="1:8" x14ac:dyDescent="0.25">
      <c r="A382" s="15" t="s">
        <v>619</v>
      </c>
      <c r="B382" s="15" t="s">
        <v>2201</v>
      </c>
      <c r="C382" s="15" t="s">
        <v>66</v>
      </c>
      <c r="D382" s="15">
        <v>9161992120</v>
      </c>
      <c r="E382" s="15" t="s">
        <v>2202</v>
      </c>
      <c r="F382" s="15" t="s">
        <v>2203</v>
      </c>
      <c r="G382" s="15" t="s">
        <v>2204</v>
      </c>
      <c r="H382" s="15"/>
    </row>
    <row r="383" spans="1:8" x14ac:dyDescent="0.25">
      <c r="A383" s="15" t="s">
        <v>620</v>
      </c>
      <c r="B383" s="15" t="s">
        <v>2205</v>
      </c>
      <c r="C383" s="15" t="s">
        <v>202</v>
      </c>
      <c r="D383" s="15">
        <v>9570371748</v>
      </c>
      <c r="E383" s="15" t="s">
        <v>2206</v>
      </c>
      <c r="F383" s="15" t="s">
        <v>2207</v>
      </c>
      <c r="G383" s="15" t="s">
        <v>2208</v>
      </c>
      <c r="H383" s="15"/>
    </row>
    <row r="384" spans="1:8" x14ac:dyDescent="0.25">
      <c r="A384" s="15" t="s">
        <v>621</v>
      </c>
      <c r="B384" s="15" t="s">
        <v>2209</v>
      </c>
      <c r="C384" s="15" t="s">
        <v>2210</v>
      </c>
      <c r="D384" s="15">
        <v>9499022790</v>
      </c>
      <c r="E384" s="15" t="s">
        <v>2211</v>
      </c>
      <c r="F384" s="15" t="s">
        <v>1487</v>
      </c>
      <c r="G384" s="15" t="s">
        <v>2212</v>
      </c>
      <c r="H384" s="15"/>
    </row>
    <row r="385" spans="1:8" x14ac:dyDescent="0.25">
      <c r="A385" s="15" t="s">
        <v>622</v>
      </c>
      <c r="B385" s="15" t="s">
        <v>2213</v>
      </c>
      <c r="C385" s="15" t="s">
        <v>104</v>
      </c>
      <c r="D385" s="15">
        <v>9795984319</v>
      </c>
      <c r="E385" s="15" t="s">
        <v>2214</v>
      </c>
      <c r="F385" s="15" t="s">
        <v>2215</v>
      </c>
      <c r="G385" s="15" t="s">
        <v>2216</v>
      </c>
      <c r="H385" s="15"/>
    </row>
    <row r="386" spans="1:8" x14ac:dyDescent="0.25">
      <c r="A386" s="15" t="s">
        <v>623</v>
      </c>
      <c r="B386" s="15" t="s">
        <v>2217</v>
      </c>
      <c r="C386" s="15" t="s">
        <v>865</v>
      </c>
      <c r="D386" s="15">
        <v>9864392519</v>
      </c>
      <c r="E386" s="15" t="s">
        <v>866</v>
      </c>
      <c r="F386" s="15" t="s">
        <v>2218</v>
      </c>
      <c r="G386" s="15" t="s">
        <v>2219</v>
      </c>
      <c r="H386" s="15"/>
    </row>
    <row r="387" spans="1:8" x14ac:dyDescent="0.25">
      <c r="A387" s="15" t="s">
        <v>625</v>
      </c>
      <c r="B387" s="15" t="s">
        <v>2220</v>
      </c>
      <c r="C387" s="15" t="s">
        <v>435</v>
      </c>
      <c r="D387" s="15">
        <v>9664589628</v>
      </c>
      <c r="E387" s="15" t="s">
        <v>2221</v>
      </c>
      <c r="F387" s="15" t="s">
        <v>2222</v>
      </c>
      <c r="G387" s="15" t="s">
        <v>2223</v>
      </c>
      <c r="H387" s="15"/>
    </row>
    <row r="388" spans="1:8" x14ac:dyDescent="0.25">
      <c r="A388" s="15" t="s">
        <v>626</v>
      </c>
      <c r="B388" s="15" t="s">
        <v>206</v>
      </c>
      <c r="C388" s="15" t="s">
        <v>110</v>
      </c>
      <c r="D388" s="15">
        <v>9289226901</v>
      </c>
      <c r="E388" s="15" t="s">
        <v>2224</v>
      </c>
      <c r="F388" s="15" t="s">
        <v>2225</v>
      </c>
      <c r="G388" s="15" t="s">
        <v>2226</v>
      </c>
      <c r="H388" s="15"/>
    </row>
    <row r="389" spans="1:8" x14ac:dyDescent="0.25">
      <c r="A389" s="15" t="s">
        <v>627</v>
      </c>
      <c r="B389" s="15" t="s">
        <v>2227</v>
      </c>
      <c r="C389" s="15" t="s">
        <v>2228</v>
      </c>
      <c r="D389" s="15">
        <v>9895050168</v>
      </c>
      <c r="E389" s="15" t="s">
        <v>2229</v>
      </c>
      <c r="F389" s="15" t="s">
        <v>2230</v>
      </c>
      <c r="G389" s="15" t="s">
        <v>2231</v>
      </c>
      <c r="H389" s="15"/>
    </row>
    <row r="390" spans="1:8" x14ac:dyDescent="0.25">
      <c r="A390" s="15" t="s">
        <v>628</v>
      </c>
      <c r="B390" s="15" t="s">
        <v>2232</v>
      </c>
      <c r="C390" s="15" t="s">
        <v>161</v>
      </c>
      <c r="D390" s="15">
        <v>9196692649</v>
      </c>
      <c r="E390" s="15" t="s">
        <v>2233</v>
      </c>
      <c r="F390" s="15" t="s">
        <v>2234</v>
      </c>
      <c r="G390" s="15" t="s">
        <v>2235</v>
      </c>
      <c r="H390" s="15"/>
    </row>
    <row r="391" spans="1:8" x14ac:dyDescent="0.25">
      <c r="A391" s="15" t="s">
        <v>630</v>
      </c>
      <c r="B391" s="15" t="s">
        <v>2236</v>
      </c>
      <c r="C391" s="15" t="s">
        <v>297</v>
      </c>
      <c r="D391" s="15">
        <v>9159060838</v>
      </c>
      <c r="E391" s="15" t="s">
        <v>2237</v>
      </c>
      <c r="F391" s="15" t="s">
        <v>2238</v>
      </c>
      <c r="G391" s="15" t="s">
        <v>2239</v>
      </c>
      <c r="H391" s="15"/>
    </row>
    <row r="392" spans="1:8" x14ac:dyDescent="0.25">
      <c r="A392" s="15" t="s">
        <v>631</v>
      </c>
      <c r="B392" s="15" t="s">
        <v>2240</v>
      </c>
      <c r="C392" s="15" t="s">
        <v>354</v>
      </c>
      <c r="D392" s="15">
        <v>9536958896</v>
      </c>
      <c r="E392" s="15" t="s">
        <v>2241</v>
      </c>
      <c r="F392" s="15" t="s">
        <v>2242</v>
      </c>
      <c r="G392" s="15" t="s">
        <v>2243</v>
      </c>
      <c r="H392" s="15"/>
    </row>
    <row r="393" spans="1:8" x14ac:dyDescent="0.25">
      <c r="A393" s="15" t="s">
        <v>632</v>
      </c>
      <c r="B393" s="15" t="s">
        <v>589</v>
      </c>
      <c r="C393" s="15" t="s">
        <v>1774</v>
      </c>
      <c r="D393" s="15">
        <v>9394921865</v>
      </c>
      <c r="E393" s="15" t="s">
        <v>2244</v>
      </c>
      <c r="F393" s="15" t="s">
        <v>2245</v>
      </c>
      <c r="G393" s="15" t="s">
        <v>2246</v>
      </c>
      <c r="H393" s="15"/>
    </row>
    <row r="394" spans="1:8" x14ac:dyDescent="0.25">
      <c r="A394" s="15" t="s">
        <v>634</v>
      </c>
      <c r="B394" s="15" t="s">
        <v>2247</v>
      </c>
      <c r="C394" s="15" t="s">
        <v>230</v>
      </c>
      <c r="D394" s="15">
        <v>9648661599</v>
      </c>
      <c r="E394" s="15" t="s">
        <v>2248</v>
      </c>
      <c r="F394" s="15" t="s">
        <v>250</v>
      </c>
      <c r="G394" s="15" t="s">
        <v>2249</v>
      </c>
      <c r="H394" s="15"/>
    </row>
    <row r="395" spans="1:8" x14ac:dyDescent="0.25">
      <c r="A395" s="15" t="s">
        <v>635</v>
      </c>
      <c r="B395" s="15" t="s">
        <v>2250</v>
      </c>
      <c r="C395" s="15" t="s">
        <v>382</v>
      </c>
      <c r="D395" s="15">
        <v>9427456219</v>
      </c>
      <c r="E395" s="15" t="s">
        <v>2251</v>
      </c>
      <c r="F395" s="15" t="s">
        <v>2252</v>
      </c>
      <c r="G395" s="15" t="s">
        <v>2253</v>
      </c>
      <c r="H395" s="15"/>
    </row>
    <row r="396" spans="1:8" x14ac:dyDescent="0.25">
      <c r="A396" s="15" t="s">
        <v>636</v>
      </c>
      <c r="B396" s="15" t="s">
        <v>2254</v>
      </c>
      <c r="C396" s="15" t="s">
        <v>2255</v>
      </c>
      <c r="D396" s="15">
        <v>9251701654</v>
      </c>
      <c r="E396" s="15" t="s">
        <v>2256</v>
      </c>
      <c r="F396" s="15" t="s">
        <v>2257</v>
      </c>
      <c r="G396" s="15" t="s">
        <v>2258</v>
      </c>
      <c r="H396" s="15"/>
    </row>
    <row r="397" spans="1:8" x14ac:dyDescent="0.25">
      <c r="A397" s="15" t="s">
        <v>637</v>
      </c>
      <c r="B397" s="15" t="s">
        <v>2259</v>
      </c>
      <c r="C397" s="15" t="s">
        <v>721</v>
      </c>
      <c r="D397" s="15">
        <v>9109137423</v>
      </c>
      <c r="E397" s="15" t="s">
        <v>2260</v>
      </c>
      <c r="F397" s="15" t="s">
        <v>2261</v>
      </c>
      <c r="G397" s="15" t="s">
        <v>2262</v>
      </c>
      <c r="H397" s="15"/>
    </row>
    <row r="398" spans="1:8" x14ac:dyDescent="0.25">
      <c r="A398" s="15" t="s">
        <v>638</v>
      </c>
      <c r="B398" s="15" t="s">
        <v>2263</v>
      </c>
      <c r="C398" s="15" t="s">
        <v>193</v>
      </c>
      <c r="D398" s="15">
        <v>9862953845</v>
      </c>
      <c r="E398" s="15" t="s">
        <v>2264</v>
      </c>
      <c r="F398" s="15" t="s">
        <v>2265</v>
      </c>
      <c r="G398" s="15" t="s">
        <v>2266</v>
      </c>
      <c r="H398" s="15"/>
    </row>
    <row r="399" spans="1:8" x14ac:dyDescent="0.25">
      <c r="A399" s="15" t="s">
        <v>640</v>
      </c>
      <c r="B399" s="15" t="s">
        <v>2267</v>
      </c>
      <c r="C399" s="15" t="s">
        <v>413</v>
      </c>
      <c r="D399" s="15">
        <v>9786414739</v>
      </c>
      <c r="E399" s="15" t="s">
        <v>1135</v>
      </c>
      <c r="F399" s="15" t="s">
        <v>2268</v>
      </c>
      <c r="G399" s="15" t="s">
        <v>2269</v>
      </c>
      <c r="H399" s="15"/>
    </row>
    <row r="400" spans="1:8" x14ac:dyDescent="0.25">
      <c r="A400" s="15" t="s">
        <v>641</v>
      </c>
      <c r="B400" s="15" t="s">
        <v>2270</v>
      </c>
      <c r="C400" s="15" t="s">
        <v>1139</v>
      </c>
      <c r="D400" s="15">
        <v>9891562216</v>
      </c>
      <c r="E400" s="15" t="s">
        <v>2271</v>
      </c>
      <c r="F400" s="15" t="s">
        <v>2272</v>
      </c>
      <c r="G400" s="15" t="s">
        <v>2273</v>
      </c>
      <c r="H400" s="15"/>
    </row>
    <row r="401" spans="1:8" x14ac:dyDescent="0.25">
      <c r="A401" s="15" t="s">
        <v>642</v>
      </c>
      <c r="B401" s="15" t="s">
        <v>2274</v>
      </c>
      <c r="C401" s="15" t="s">
        <v>840</v>
      </c>
      <c r="D401" s="15">
        <v>9654299835</v>
      </c>
      <c r="E401" s="15" t="s">
        <v>2275</v>
      </c>
      <c r="F401" s="15" t="s">
        <v>2276</v>
      </c>
      <c r="G401" s="15" t="s">
        <v>2277</v>
      </c>
      <c r="H401" s="15"/>
    </row>
    <row r="402" spans="1:8" x14ac:dyDescent="0.25">
      <c r="H402" s="15"/>
    </row>
    <row r="403" spans="1:8" x14ac:dyDescent="0.25">
      <c r="H403" s="15"/>
    </row>
    <row r="404" spans="1:8" x14ac:dyDescent="0.25">
      <c r="H404" s="15"/>
    </row>
    <row r="405" spans="1:8" x14ac:dyDescent="0.25">
      <c r="H405" s="15"/>
    </row>
    <row r="406" spans="1:8" x14ac:dyDescent="0.25">
      <c r="H406" s="15"/>
    </row>
    <row r="407" spans="1:8" x14ac:dyDescent="0.25">
      <c r="H407" s="15"/>
    </row>
    <row r="408" spans="1:8" x14ac:dyDescent="0.25">
      <c r="H408" s="15"/>
    </row>
    <row r="409" spans="1:8" x14ac:dyDescent="0.25">
      <c r="H409" s="15"/>
    </row>
    <row r="410" spans="1:8" x14ac:dyDescent="0.25">
      <c r="H410" s="15"/>
    </row>
    <row r="411" spans="1:8" x14ac:dyDescent="0.25">
      <c r="H411" s="15"/>
    </row>
    <row r="412" spans="1:8" x14ac:dyDescent="0.25">
      <c r="H412" s="15"/>
    </row>
    <row r="413" spans="1:8" x14ac:dyDescent="0.25">
      <c r="H413" s="15"/>
    </row>
    <row r="414" spans="1:8" x14ac:dyDescent="0.25">
      <c r="H414" s="15"/>
    </row>
    <row r="415" spans="1:8" x14ac:dyDescent="0.25">
      <c r="H415" s="15"/>
    </row>
    <row r="416" spans="1:8" x14ac:dyDescent="0.25">
      <c r="H416" s="15"/>
    </row>
    <row r="417" spans="8:8" x14ac:dyDescent="0.25">
      <c r="H417" s="15"/>
    </row>
    <row r="418" spans="8:8" x14ac:dyDescent="0.25">
      <c r="H418" s="15"/>
    </row>
    <row r="419" spans="8:8" x14ac:dyDescent="0.25">
      <c r="H419" s="15"/>
    </row>
    <row r="420" spans="8:8" x14ac:dyDescent="0.25">
      <c r="H420" s="15"/>
    </row>
    <row r="421" spans="8:8" x14ac:dyDescent="0.25">
      <c r="H421" s="15"/>
    </row>
    <row r="422" spans="8:8" x14ac:dyDescent="0.25">
      <c r="H422" s="15"/>
    </row>
    <row r="423" spans="8:8" x14ac:dyDescent="0.25">
      <c r="H423" s="15"/>
    </row>
    <row r="424" spans="8:8" x14ac:dyDescent="0.25">
      <c r="H424" s="15"/>
    </row>
    <row r="425" spans="8:8" x14ac:dyDescent="0.25">
      <c r="H425" s="15"/>
    </row>
    <row r="426" spans="8:8" x14ac:dyDescent="0.25">
      <c r="H426" s="15"/>
    </row>
    <row r="427" spans="8:8" x14ac:dyDescent="0.25">
      <c r="H427" s="15"/>
    </row>
    <row r="428" spans="8:8" x14ac:dyDescent="0.25">
      <c r="H428" s="15"/>
    </row>
    <row r="429" spans="8:8" x14ac:dyDescent="0.25">
      <c r="H429" s="15"/>
    </row>
    <row r="430" spans="8:8" x14ac:dyDescent="0.25">
      <c r="H430" s="15"/>
    </row>
    <row r="431" spans="8:8" x14ac:dyDescent="0.25">
      <c r="H431" s="15"/>
    </row>
    <row r="432" spans="8:8" x14ac:dyDescent="0.25">
      <c r="H432" s="15"/>
    </row>
    <row r="433" spans="8:8" x14ac:dyDescent="0.25">
      <c r="H433" s="15"/>
    </row>
    <row r="434" spans="8:8" x14ac:dyDescent="0.25">
      <c r="H434" s="15"/>
    </row>
    <row r="435" spans="8:8" x14ac:dyDescent="0.25">
      <c r="H435" s="15"/>
    </row>
    <row r="436" spans="8:8" x14ac:dyDescent="0.25">
      <c r="H436" s="15"/>
    </row>
    <row r="437" spans="8:8" x14ac:dyDescent="0.25">
      <c r="H437" s="15"/>
    </row>
    <row r="438" spans="8:8" x14ac:dyDescent="0.25">
      <c r="H438" s="15"/>
    </row>
    <row r="439" spans="8:8" x14ac:dyDescent="0.25">
      <c r="H439" s="15"/>
    </row>
    <row r="440" spans="8:8" x14ac:dyDescent="0.25">
      <c r="H440" s="15"/>
    </row>
    <row r="441" spans="8:8" x14ac:dyDescent="0.25">
      <c r="H441" s="15"/>
    </row>
    <row r="442" spans="8:8" x14ac:dyDescent="0.25">
      <c r="H442" s="15"/>
    </row>
    <row r="443" spans="8:8" x14ac:dyDescent="0.25">
      <c r="H443" s="15"/>
    </row>
    <row r="444" spans="8:8" x14ac:dyDescent="0.25">
      <c r="H444" s="15"/>
    </row>
    <row r="445" spans="8:8" x14ac:dyDescent="0.25">
      <c r="H445" s="15"/>
    </row>
    <row r="446" spans="8:8" x14ac:dyDescent="0.25">
      <c r="H446" s="15"/>
    </row>
    <row r="447" spans="8:8" x14ac:dyDescent="0.25">
      <c r="H447" s="15"/>
    </row>
    <row r="448" spans="8:8" x14ac:dyDescent="0.25">
      <c r="H448" s="15"/>
    </row>
    <row r="449" spans="8:8" x14ac:dyDescent="0.25">
      <c r="H449" s="15"/>
    </row>
    <row r="450" spans="8:8" x14ac:dyDescent="0.25">
      <c r="H450" s="15"/>
    </row>
    <row r="451" spans="8:8" x14ac:dyDescent="0.25">
      <c r="H451" s="15"/>
    </row>
    <row r="452" spans="8:8" x14ac:dyDescent="0.25">
      <c r="H452" s="15"/>
    </row>
    <row r="453" spans="8:8" x14ac:dyDescent="0.25">
      <c r="H453" s="15"/>
    </row>
    <row r="454" spans="8:8" x14ac:dyDescent="0.25">
      <c r="H454" s="15"/>
    </row>
    <row r="455" spans="8:8" x14ac:dyDescent="0.25">
      <c r="H455" s="15"/>
    </row>
    <row r="456" spans="8:8" x14ac:dyDescent="0.25">
      <c r="H456" s="15"/>
    </row>
    <row r="457" spans="8:8" x14ac:dyDescent="0.25">
      <c r="H457" s="15"/>
    </row>
    <row r="458" spans="8:8" x14ac:dyDescent="0.25">
      <c r="H458" s="15"/>
    </row>
    <row r="459" spans="8:8" x14ac:dyDescent="0.25">
      <c r="H459" s="15"/>
    </row>
    <row r="460" spans="8:8" x14ac:dyDescent="0.25">
      <c r="H460" s="15"/>
    </row>
    <row r="461" spans="8:8" x14ac:dyDescent="0.25">
      <c r="H461" s="15"/>
    </row>
    <row r="462" spans="8:8" x14ac:dyDescent="0.25">
      <c r="H462" s="15"/>
    </row>
    <row r="463" spans="8:8" x14ac:dyDescent="0.25">
      <c r="H463" s="15"/>
    </row>
    <row r="464" spans="8:8" x14ac:dyDescent="0.25">
      <c r="H464" s="15"/>
    </row>
    <row r="465" spans="8:8" x14ac:dyDescent="0.25">
      <c r="H465" s="15"/>
    </row>
    <row r="466" spans="8:8" x14ac:dyDescent="0.25">
      <c r="H466" s="15"/>
    </row>
    <row r="467" spans="8:8" x14ac:dyDescent="0.25">
      <c r="H467" s="15"/>
    </row>
    <row r="468" spans="8:8" x14ac:dyDescent="0.25">
      <c r="H468" s="15"/>
    </row>
    <row r="469" spans="8:8" x14ac:dyDescent="0.25">
      <c r="H469" s="15"/>
    </row>
    <row r="470" spans="8:8" x14ac:dyDescent="0.25">
      <c r="H470" s="15"/>
    </row>
    <row r="471" spans="8:8" x14ac:dyDescent="0.25">
      <c r="H471" s="15"/>
    </row>
    <row r="472" spans="8:8" x14ac:dyDescent="0.25">
      <c r="H472" s="15"/>
    </row>
    <row r="473" spans="8:8" x14ac:dyDescent="0.25">
      <c r="H473" s="15"/>
    </row>
    <row r="474" spans="8:8" x14ac:dyDescent="0.25">
      <c r="H474" s="15"/>
    </row>
    <row r="475" spans="8:8" x14ac:dyDescent="0.25">
      <c r="H475" s="15"/>
    </row>
    <row r="476" spans="8:8" x14ac:dyDescent="0.25">
      <c r="H476" s="15"/>
    </row>
    <row r="477" spans="8:8" x14ac:dyDescent="0.25">
      <c r="H477" s="15"/>
    </row>
    <row r="478" spans="8:8" x14ac:dyDescent="0.25">
      <c r="H478" s="15"/>
    </row>
    <row r="479" spans="8:8" x14ac:dyDescent="0.25">
      <c r="H479" s="15"/>
    </row>
    <row r="480" spans="8:8" x14ac:dyDescent="0.25">
      <c r="H480" s="15"/>
    </row>
    <row r="481" spans="8:8" x14ac:dyDescent="0.25">
      <c r="H481" s="15"/>
    </row>
    <row r="482" spans="8:8" x14ac:dyDescent="0.25">
      <c r="H482" s="15"/>
    </row>
    <row r="483" spans="8:8" x14ac:dyDescent="0.25">
      <c r="H483" s="15"/>
    </row>
    <row r="484" spans="8:8" x14ac:dyDescent="0.25">
      <c r="H484" s="15"/>
    </row>
    <row r="485" spans="8:8" x14ac:dyDescent="0.25">
      <c r="H485" s="15"/>
    </row>
    <row r="486" spans="8:8" x14ac:dyDescent="0.25">
      <c r="H486" s="15"/>
    </row>
    <row r="487" spans="8:8" x14ac:dyDescent="0.25">
      <c r="H487" s="15"/>
    </row>
    <row r="488" spans="8:8" x14ac:dyDescent="0.25">
      <c r="H488" s="15"/>
    </row>
    <row r="489" spans="8:8" x14ac:dyDescent="0.25">
      <c r="H489" s="15"/>
    </row>
    <row r="490" spans="8:8" x14ac:dyDescent="0.25">
      <c r="H490" s="15"/>
    </row>
    <row r="491" spans="8:8" x14ac:dyDescent="0.25">
      <c r="H491" s="15"/>
    </row>
    <row r="492" spans="8:8" x14ac:dyDescent="0.25">
      <c r="H492" s="15"/>
    </row>
    <row r="493" spans="8:8" x14ac:dyDescent="0.25">
      <c r="H493" s="15"/>
    </row>
    <row r="494" spans="8:8" x14ac:dyDescent="0.25">
      <c r="H494" s="15"/>
    </row>
    <row r="495" spans="8:8" x14ac:dyDescent="0.25">
      <c r="H495" s="15"/>
    </row>
    <row r="496" spans="8:8" x14ac:dyDescent="0.25">
      <c r="H496" s="15"/>
    </row>
    <row r="497" spans="8:8" x14ac:dyDescent="0.25">
      <c r="H497" s="15"/>
    </row>
    <row r="498" spans="8:8" x14ac:dyDescent="0.25">
      <c r="H498" s="15"/>
    </row>
    <row r="499" spans="8:8" x14ac:dyDescent="0.25">
      <c r="H499" s="15"/>
    </row>
    <row r="500" spans="8:8" x14ac:dyDescent="0.25">
      <c r="H500" s="15"/>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145B-0C7E-44D7-A15C-DBEC64131251}">
  <dimension ref="A1:F500"/>
  <sheetViews>
    <sheetView showGridLines="0" showRowColHeaders="0" workbookViewId="0">
      <selection activeCell="J60" sqref="J60"/>
    </sheetView>
  </sheetViews>
  <sheetFormatPr defaultRowHeight="15" x14ac:dyDescent="0.25"/>
  <cols>
    <col min="1" max="2" width="12.28515625" customWidth="1"/>
    <col min="3" max="3" width="20.85546875" customWidth="1"/>
    <col min="4" max="4" width="17.140625" customWidth="1"/>
    <col min="5" max="5" width="11.85546875" style="2" customWidth="1"/>
  </cols>
  <sheetData>
    <row r="1" spans="1:6" x14ac:dyDescent="0.25">
      <c r="A1" s="15" t="s">
        <v>20</v>
      </c>
      <c r="B1" s="15" t="s">
        <v>19</v>
      </c>
      <c r="C1" s="15" t="s">
        <v>2278</v>
      </c>
      <c r="D1" s="15" t="s">
        <v>22</v>
      </c>
      <c r="E1" s="15" t="s">
        <v>23</v>
      </c>
      <c r="F1" s="15" t="s">
        <v>2279</v>
      </c>
    </row>
    <row r="2" spans="1:6" x14ac:dyDescent="0.25">
      <c r="A2" s="15" t="s">
        <v>2280</v>
      </c>
      <c r="B2" s="15" t="s">
        <v>63</v>
      </c>
      <c r="C2" s="15" t="s">
        <v>30</v>
      </c>
      <c r="D2" s="15" t="s">
        <v>25</v>
      </c>
      <c r="E2" s="15">
        <v>6000</v>
      </c>
      <c r="F2" s="15" t="s">
        <v>2281</v>
      </c>
    </row>
    <row r="3" spans="1:6" x14ac:dyDescent="0.25">
      <c r="A3" s="15" t="s">
        <v>2282</v>
      </c>
      <c r="B3" s="15" t="s">
        <v>64</v>
      </c>
      <c r="C3" s="15" t="s">
        <v>2283</v>
      </c>
      <c r="D3" s="15" t="s">
        <v>25</v>
      </c>
      <c r="E3" s="15">
        <v>29500</v>
      </c>
      <c r="F3" s="15" t="s">
        <v>2281</v>
      </c>
    </row>
    <row r="4" spans="1:6" x14ac:dyDescent="0.25">
      <c r="A4" s="15" t="s">
        <v>2284</v>
      </c>
      <c r="B4" s="15" t="s">
        <v>65</v>
      </c>
      <c r="C4" s="15" t="s">
        <v>2285</v>
      </c>
      <c r="D4" s="15" t="s">
        <v>25</v>
      </c>
      <c r="E4" s="15">
        <v>17000</v>
      </c>
      <c r="F4" s="15" t="s">
        <v>2281</v>
      </c>
    </row>
    <row r="5" spans="1:6" x14ac:dyDescent="0.25">
      <c r="A5" s="15" t="s">
        <v>2286</v>
      </c>
      <c r="B5" s="15" t="s">
        <v>67</v>
      </c>
      <c r="C5" s="15" t="s">
        <v>2287</v>
      </c>
      <c r="D5" s="15" t="s">
        <v>25</v>
      </c>
      <c r="E5" s="15">
        <v>45000</v>
      </c>
      <c r="F5" s="15" t="s">
        <v>2281</v>
      </c>
    </row>
    <row r="6" spans="1:6" x14ac:dyDescent="0.25">
      <c r="A6" s="15" t="s">
        <v>2288</v>
      </c>
      <c r="B6" s="15" t="s">
        <v>69</v>
      </c>
      <c r="C6" s="15" t="s">
        <v>2289</v>
      </c>
      <c r="D6" s="15" t="s">
        <v>25</v>
      </c>
      <c r="E6" s="15">
        <v>19000</v>
      </c>
      <c r="F6" s="15" t="s">
        <v>2281</v>
      </c>
    </row>
    <row r="7" spans="1:6" x14ac:dyDescent="0.25">
      <c r="A7" s="15" t="s">
        <v>2290</v>
      </c>
      <c r="B7" s="15" t="s">
        <v>70</v>
      </c>
      <c r="C7" s="15" t="s">
        <v>2291</v>
      </c>
      <c r="D7" s="15" t="s">
        <v>25</v>
      </c>
      <c r="E7" s="15">
        <v>48000</v>
      </c>
      <c r="F7" s="15" t="s">
        <v>2281</v>
      </c>
    </row>
    <row r="8" spans="1:6" x14ac:dyDescent="0.25">
      <c r="A8" s="15" t="s">
        <v>2292</v>
      </c>
      <c r="B8" s="15" t="s">
        <v>72</v>
      </c>
      <c r="C8" s="15" t="s">
        <v>2293</v>
      </c>
      <c r="D8" s="15" t="s">
        <v>25</v>
      </c>
      <c r="E8" s="15">
        <v>31000</v>
      </c>
      <c r="F8" s="15" t="s">
        <v>2281</v>
      </c>
    </row>
    <row r="9" spans="1:6" x14ac:dyDescent="0.25">
      <c r="A9" s="15" t="s">
        <v>2294</v>
      </c>
      <c r="B9" s="15" t="s">
        <v>74</v>
      </c>
      <c r="C9" s="15" t="s">
        <v>2295</v>
      </c>
      <c r="D9" s="15" t="s">
        <v>25</v>
      </c>
      <c r="E9" s="15">
        <v>46500</v>
      </c>
      <c r="F9" s="15" t="s">
        <v>2281</v>
      </c>
    </row>
    <row r="10" spans="1:6" x14ac:dyDescent="0.25">
      <c r="A10" s="15" t="s">
        <v>2296</v>
      </c>
      <c r="B10" s="15" t="s">
        <v>77</v>
      </c>
      <c r="C10" s="15" t="s">
        <v>2297</v>
      </c>
      <c r="D10" s="15" t="s">
        <v>25</v>
      </c>
      <c r="E10" s="15">
        <v>30000</v>
      </c>
      <c r="F10" s="15" t="s">
        <v>2281</v>
      </c>
    </row>
    <row r="11" spans="1:6" x14ac:dyDescent="0.25">
      <c r="A11" s="15" t="s">
        <v>2298</v>
      </c>
      <c r="B11" s="15" t="s">
        <v>79</v>
      </c>
      <c r="C11" s="15" t="s">
        <v>2299</v>
      </c>
      <c r="D11" s="15" t="s">
        <v>25</v>
      </c>
      <c r="E11" s="15">
        <v>12500</v>
      </c>
      <c r="F11" s="15" t="s">
        <v>2281</v>
      </c>
    </row>
    <row r="12" spans="1:6" x14ac:dyDescent="0.25">
      <c r="A12" s="15" t="s">
        <v>2300</v>
      </c>
      <c r="B12" s="15" t="s">
        <v>81</v>
      </c>
      <c r="C12" s="15" t="s">
        <v>2301</v>
      </c>
      <c r="D12" s="15" t="s">
        <v>31</v>
      </c>
      <c r="E12" s="15">
        <v>6500</v>
      </c>
      <c r="F12" s="15" t="s">
        <v>2281</v>
      </c>
    </row>
    <row r="13" spans="1:6" x14ac:dyDescent="0.25">
      <c r="A13" s="15" t="s">
        <v>2302</v>
      </c>
      <c r="B13" s="15" t="s">
        <v>83</v>
      </c>
      <c r="C13" s="15" t="s">
        <v>29</v>
      </c>
      <c r="D13" s="15" t="s">
        <v>31</v>
      </c>
      <c r="E13" s="15">
        <v>47500</v>
      </c>
      <c r="F13" s="15" t="s">
        <v>2281</v>
      </c>
    </row>
    <row r="14" spans="1:6" x14ac:dyDescent="0.25">
      <c r="A14" s="15" t="s">
        <v>2303</v>
      </c>
      <c r="B14" s="15" t="s">
        <v>86</v>
      </c>
      <c r="C14" s="15" t="s">
        <v>2304</v>
      </c>
      <c r="D14" s="15" t="s">
        <v>31</v>
      </c>
      <c r="E14" s="15">
        <v>11500</v>
      </c>
      <c r="F14" s="15" t="s">
        <v>2281</v>
      </c>
    </row>
    <row r="15" spans="1:6" x14ac:dyDescent="0.25">
      <c r="A15" s="15" t="s">
        <v>2305</v>
      </c>
      <c r="B15" s="15" t="s">
        <v>87</v>
      </c>
      <c r="C15" s="15" t="s">
        <v>2306</v>
      </c>
      <c r="D15" s="15" t="s">
        <v>31</v>
      </c>
      <c r="E15" s="15">
        <v>5500</v>
      </c>
      <c r="F15" s="15" t="s">
        <v>2281</v>
      </c>
    </row>
    <row r="16" spans="1:6" x14ac:dyDescent="0.25">
      <c r="A16" s="15" t="s">
        <v>2307</v>
      </c>
      <c r="B16" s="15" t="s">
        <v>88</v>
      </c>
      <c r="C16" s="15" t="s">
        <v>2308</v>
      </c>
      <c r="D16" s="15" t="s">
        <v>31</v>
      </c>
      <c r="E16" s="15">
        <v>13000</v>
      </c>
      <c r="F16" s="15" t="s">
        <v>2281</v>
      </c>
    </row>
    <row r="17" spans="1:6" x14ac:dyDescent="0.25">
      <c r="A17" s="15" t="s">
        <v>2309</v>
      </c>
      <c r="B17" s="15" t="s">
        <v>89</v>
      </c>
      <c r="C17" s="15" t="s">
        <v>2310</v>
      </c>
      <c r="D17" s="15" t="s">
        <v>31</v>
      </c>
      <c r="E17" s="15">
        <v>31500</v>
      </c>
      <c r="F17" s="15" t="s">
        <v>2281</v>
      </c>
    </row>
    <row r="18" spans="1:6" x14ac:dyDescent="0.25">
      <c r="A18" s="15" t="s">
        <v>2311</v>
      </c>
      <c r="B18" s="15" t="s">
        <v>91</v>
      </c>
      <c r="C18" s="15" t="s">
        <v>2312</v>
      </c>
      <c r="D18" s="15" t="s">
        <v>31</v>
      </c>
      <c r="E18" s="15">
        <v>21500</v>
      </c>
      <c r="F18" s="15" t="s">
        <v>2281</v>
      </c>
    </row>
    <row r="19" spans="1:6" x14ac:dyDescent="0.25">
      <c r="A19" s="15" t="s">
        <v>2313</v>
      </c>
      <c r="B19" s="15" t="s">
        <v>92</v>
      </c>
      <c r="C19" s="15" t="s">
        <v>2314</v>
      </c>
      <c r="D19" s="15" t="s">
        <v>31</v>
      </c>
      <c r="E19" s="15">
        <v>17500</v>
      </c>
      <c r="F19" s="15" t="s">
        <v>2281</v>
      </c>
    </row>
    <row r="20" spans="1:6" x14ac:dyDescent="0.25">
      <c r="A20" s="15" t="s">
        <v>2315</v>
      </c>
      <c r="B20" s="15" t="s">
        <v>94</v>
      </c>
      <c r="C20" s="15" t="s">
        <v>2316</v>
      </c>
      <c r="D20" s="15" t="s">
        <v>31</v>
      </c>
      <c r="E20" s="15">
        <v>40000</v>
      </c>
      <c r="F20" s="15" t="s">
        <v>2281</v>
      </c>
    </row>
    <row r="21" spans="1:6" x14ac:dyDescent="0.25">
      <c r="A21" s="15" t="s">
        <v>2317</v>
      </c>
      <c r="B21" s="15" t="s">
        <v>95</v>
      </c>
      <c r="C21" s="15" t="s">
        <v>2318</v>
      </c>
      <c r="D21" s="15" t="s">
        <v>31</v>
      </c>
      <c r="E21" s="15">
        <v>23000</v>
      </c>
      <c r="F21" s="15" t="s">
        <v>2281</v>
      </c>
    </row>
    <row r="22" spans="1:6" x14ac:dyDescent="0.25">
      <c r="A22" s="15" t="s">
        <v>2319</v>
      </c>
      <c r="B22" s="15" t="s">
        <v>98</v>
      </c>
      <c r="C22" s="15" t="s">
        <v>2320</v>
      </c>
      <c r="D22" s="15" t="s">
        <v>24</v>
      </c>
      <c r="E22" s="15">
        <v>48000</v>
      </c>
      <c r="F22" s="15" t="s">
        <v>2281</v>
      </c>
    </row>
    <row r="23" spans="1:6" x14ac:dyDescent="0.25">
      <c r="A23" s="15" t="s">
        <v>2321</v>
      </c>
      <c r="B23" s="15" t="s">
        <v>100</v>
      </c>
      <c r="C23" s="15" t="s">
        <v>2322</v>
      </c>
      <c r="D23" s="15" t="s">
        <v>24</v>
      </c>
      <c r="E23" s="15">
        <v>38500</v>
      </c>
      <c r="F23" s="15" t="s">
        <v>2281</v>
      </c>
    </row>
    <row r="24" spans="1:6" x14ac:dyDescent="0.25">
      <c r="A24" s="15" t="s">
        <v>2323</v>
      </c>
      <c r="B24" s="15" t="s">
        <v>101</v>
      </c>
      <c r="C24" s="15" t="s">
        <v>2324</v>
      </c>
      <c r="D24" s="15" t="s">
        <v>24</v>
      </c>
      <c r="E24" s="15">
        <v>49000</v>
      </c>
      <c r="F24" s="15" t="s">
        <v>2281</v>
      </c>
    </row>
    <row r="25" spans="1:6" x14ac:dyDescent="0.25">
      <c r="A25" s="15" t="s">
        <v>2325</v>
      </c>
      <c r="B25" s="15" t="s">
        <v>103</v>
      </c>
      <c r="C25" s="15" t="s">
        <v>2326</v>
      </c>
      <c r="D25" s="15" t="s">
        <v>24</v>
      </c>
      <c r="E25" s="15">
        <v>12500</v>
      </c>
      <c r="F25" s="15" t="s">
        <v>2281</v>
      </c>
    </row>
    <row r="26" spans="1:6" x14ac:dyDescent="0.25">
      <c r="A26" s="15" t="s">
        <v>2327</v>
      </c>
      <c r="B26" s="15" t="s">
        <v>106</v>
      </c>
      <c r="C26" s="15" t="s">
        <v>2328</v>
      </c>
      <c r="D26" s="15" t="s">
        <v>24</v>
      </c>
      <c r="E26" s="15">
        <v>22500</v>
      </c>
      <c r="F26" s="15" t="s">
        <v>2281</v>
      </c>
    </row>
    <row r="27" spans="1:6" x14ac:dyDescent="0.25">
      <c r="A27" s="15" t="s">
        <v>2329</v>
      </c>
      <c r="B27" s="15" t="s">
        <v>108</v>
      </c>
      <c r="C27" s="15" t="s">
        <v>2330</v>
      </c>
      <c r="D27" s="15" t="s">
        <v>24</v>
      </c>
      <c r="E27" s="15">
        <v>19500</v>
      </c>
      <c r="F27" s="15" t="s">
        <v>2281</v>
      </c>
    </row>
    <row r="28" spans="1:6" x14ac:dyDescent="0.25">
      <c r="A28" s="15" t="s">
        <v>2331</v>
      </c>
      <c r="B28" s="15" t="s">
        <v>109</v>
      </c>
      <c r="C28" s="15" t="s">
        <v>2332</v>
      </c>
      <c r="D28" s="15" t="s">
        <v>24</v>
      </c>
      <c r="E28" s="15">
        <v>23500</v>
      </c>
      <c r="F28" s="15" t="s">
        <v>2281</v>
      </c>
    </row>
    <row r="29" spans="1:6" x14ac:dyDescent="0.25">
      <c r="A29" s="15" t="s">
        <v>2333</v>
      </c>
      <c r="B29" s="15" t="s">
        <v>111</v>
      </c>
      <c r="C29" s="15" t="s">
        <v>2334</v>
      </c>
      <c r="D29" s="15" t="s">
        <v>24</v>
      </c>
      <c r="E29" s="15">
        <v>38000</v>
      </c>
      <c r="F29" s="15" t="s">
        <v>2281</v>
      </c>
    </row>
    <row r="30" spans="1:6" x14ac:dyDescent="0.25">
      <c r="A30" s="15" t="s">
        <v>2335</v>
      </c>
      <c r="B30" s="15" t="s">
        <v>113</v>
      </c>
      <c r="C30" s="15" t="s">
        <v>2336</v>
      </c>
      <c r="D30" s="15" t="s">
        <v>24</v>
      </c>
      <c r="E30" s="15">
        <v>16500</v>
      </c>
      <c r="F30" s="15" t="s">
        <v>2281</v>
      </c>
    </row>
    <row r="31" spans="1:6" x14ac:dyDescent="0.25">
      <c r="A31" s="15" t="s">
        <v>2337</v>
      </c>
      <c r="B31" s="15" t="s">
        <v>115</v>
      </c>
      <c r="C31" s="15" t="s">
        <v>2338</v>
      </c>
      <c r="D31" s="15" t="s">
        <v>24</v>
      </c>
      <c r="E31" s="15">
        <v>12500</v>
      </c>
      <c r="F31" s="15" t="s">
        <v>2281</v>
      </c>
    </row>
    <row r="32" spans="1:6" x14ac:dyDescent="0.25">
      <c r="A32" s="15" t="s">
        <v>2339</v>
      </c>
      <c r="B32" s="15" t="s">
        <v>116</v>
      </c>
      <c r="C32" s="15" t="s">
        <v>2340</v>
      </c>
      <c r="D32" s="15" t="s">
        <v>2341</v>
      </c>
      <c r="E32" s="15">
        <v>45500</v>
      </c>
      <c r="F32" s="15" t="s">
        <v>2281</v>
      </c>
    </row>
    <row r="33" spans="1:6" x14ac:dyDescent="0.25">
      <c r="A33" s="15" t="s">
        <v>2342</v>
      </c>
      <c r="B33" s="15" t="s">
        <v>117</v>
      </c>
      <c r="C33" s="15" t="s">
        <v>2343</v>
      </c>
      <c r="D33" s="15" t="s">
        <v>2341</v>
      </c>
      <c r="E33" s="15">
        <v>17500</v>
      </c>
      <c r="F33" s="15" t="s">
        <v>2281</v>
      </c>
    </row>
    <row r="34" spans="1:6" x14ac:dyDescent="0.25">
      <c r="A34" s="15" t="s">
        <v>2344</v>
      </c>
      <c r="B34" s="15" t="s">
        <v>120</v>
      </c>
      <c r="C34" s="15" t="s">
        <v>2345</v>
      </c>
      <c r="D34" s="15" t="s">
        <v>2341</v>
      </c>
      <c r="E34" s="15">
        <v>28000</v>
      </c>
      <c r="F34" s="15" t="s">
        <v>2281</v>
      </c>
    </row>
    <row r="35" spans="1:6" x14ac:dyDescent="0.25">
      <c r="A35" s="15" t="s">
        <v>2346</v>
      </c>
      <c r="B35" s="15" t="s">
        <v>122</v>
      </c>
      <c r="C35" s="15" t="s">
        <v>2347</v>
      </c>
      <c r="D35" s="15" t="s">
        <v>2341</v>
      </c>
      <c r="E35" s="15">
        <v>5000</v>
      </c>
      <c r="F35" s="15" t="s">
        <v>2281</v>
      </c>
    </row>
    <row r="36" spans="1:6" x14ac:dyDescent="0.25">
      <c r="A36" s="15" t="s">
        <v>2348</v>
      </c>
      <c r="B36" s="15" t="s">
        <v>123</v>
      </c>
      <c r="C36" s="15" t="s">
        <v>2349</v>
      </c>
      <c r="D36" s="15" t="s">
        <v>2341</v>
      </c>
      <c r="E36" s="15">
        <v>23500</v>
      </c>
      <c r="F36" s="15" t="s">
        <v>2281</v>
      </c>
    </row>
    <row r="37" spans="1:6" x14ac:dyDescent="0.25">
      <c r="A37" s="15" t="s">
        <v>2350</v>
      </c>
      <c r="B37" s="15" t="s">
        <v>124</v>
      </c>
      <c r="C37" s="15" t="s">
        <v>2351</v>
      </c>
      <c r="D37" s="15" t="s">
        <v>2341</v>
      </c>
      <c r="E37" s="15">
        <v>27000</v>
      </c>
      <c r="F37" s="15" t="s">
        <v>2281</v>
      </c>
    </row>
    <row r="38" spans="1:6" x14ac:dyDescent="0.25">
      <c r="A38" s="15" t="s">
        <v>2352</v>
      </c>
      <c r="B38" s="15" t="s">
        <v>125</v>
      </c>
      <c r="C38" s="15" t="s">
        <v>2353</v>
      </c>
      <c r="D38" s="15" t="s">
        <v>2341</v>
      </c>
      <c r="E38" s="15">
        <v>12500</v>
      </c>
      <c r="F38" s="15" t="s">
        <v>2281</v>
      </c>
    </row>
    <row r="39" spans="1:6" x14ac:dyDescent="0.25">
      <c r="A39" s="15" t="s">
        <v>2354</v>
      </c>
      <c r="B39" s="15" t="s">
        <v>127</v>
      </c>
      <c r="C39" s="15" t="s">
        <v>2355</v>
      </c>
      <c r="D39" s="15" t="s">
        <v>2341</v>
      </c>
      <c r="E39" s="15">
        <v>44000</v>
      </c>
      <c r="F39" s="15" t="s">
        <v>2281</v>
      </c>
    </row>
    <row r="40" spans="1:6" x14ac:dyDescent="0.25">
      <c r="A40" s="15" t="s">
        <v>2356</v>
      </c>
      <c r="B40" s="15" t="s">
        <v>129</v>
      </c>
      <c r="C40" s="15" t="s">
        <v>2357</v>
      </c>
      <c r="D40" s="15" t="s">
        <v>2341</v>
      </c>
      <c r="E40" s="15">
        <v>21500</v>
      </c>
      <c r="F40" s="15" t="s">
        <v>2281</v>
      </c>
    </row>
    <row r="41" spans="1:6" x14ac:dyDescent="0.25">
      <c r="A41" s="15" t="s">
        <v>2358</v>
      </c>
      <c r="B41" s="15" t="s">
        <v>130</v>
      </c>
      <c r="C41" s="15" t="s">
        <v>2359</v>
      </c>
      <c r="D41" s="15" t="s">
        <v>2341</v>
      </c>
      <c r="E41" s="15">
        <v>17000</v>
      </c>
      <c r="F41" s="15" t="s">
        <v>2281</v>
      </c>
    </row>
    <row r="42" spans="1:6" x14ac:dyDescent="0.25">
      <c r="A42" s="15" t="s">
        <v>2360</v>
      </c>
      <c r="B42" s="15" t="s">
        <v>131</v>
      </c>
      <c r="C42" s="15" t="s">
        <v>27</v>
      </c>
      <c r="D42" s="15" t="s">
        <v>26</v>
      </c>
      <c r="E42" s="15">
        <v>44500</v>
      </c>
      <c r="F42" s="15" t="s">
        <v>2281</v>
      </c>
    </row>
    <row r="43" spans="1:6" x14ac:dyDescent="0.25">
      <c r="A43" s="15" t="s">
        <v>2361</v>
      </c>
      <c r="B43" s="15" t="s">
        <v>133</v>
      </c>
      <c r="C43" s="15" t="s">
        <v>2362</v>
      </c>
      <c r="D43" s="15" t="s">
        <v>26</v>
      </c>
      <c r="E43" s="15">
        <v>37500</v>
      </c>
      <c r="F43" s="15" t="s">
        <v>2281</v>
      </c>
    </row>
    <row r="44" spans="1:6" x14ac:dyDescent="0.25">
      <c r="A44" s="15" t="s">
        <v>2363</v>
      </c>
      <c r="B44" s="15" t="s">
        <v>134</v>
      </c>
      <c r="C44" s="15" t="s">
        <v>2364</v>
      </c>
      <c r="D44" s="15" t="s">
        <v>26</v>
      </c>
      <c r="E44" s="15">
        <v>47000</v>
      </c>
      <c r="F44" s="15" t="s">
        <v>2281</v>
      </c>
    </row>
    <row r="45" spans="1:6" x14ac:dyDescent="0.25">
      <c r="A45" s="15" t="s">
        <v>2365</v>
      </c>
      <c r="B45" s="15" t="s">
        <v>136</v>
      </c>
      <c r="C45" s="15" t="s">
        <v>2366</v>
      </c>
      <c r="D45" s="15" t="s">
        <v>26</v>
      </c>
      <c r="E45" s="15">
        <v>8500</v>
      </c>
      <c r="F45" s="15" t="s">
        <v>2281</v>
      </c>
    </row>
    <row r="46" spans="1:6" x14ac:dyDescent="0.25">
      <c r="A46" s="15" t="s">
        <v>2367</v>
      </c>
      <c r="B46" s="15" t="s">
        <v>138</v>
      </c>
      <c r="C46" s="15" t="s">
        <v>2368</v>
      </c>
      <c r="D46" s="15" t="s">
        <v>26</v>
      </c>
      <c r="E46" s="15">
        <v>15500</v>
      </c>
      <c r="F46" s="15" t="s">
        <v>2281</v>
      </c>
    </row>
    <row r="47" spans="1:6" x14ac:dyDescent="0.25">
      <c r="A47" s="15" t="s">
        <v>2369</v>
      </c>
      <c r="B47" s="15" t="s">
        <v>140</v>
      </c>
      <c r="C47" s="15" t="s">
        <v>2370</v>
      </c>
      <c r="D47" s="15" t="s">
        <v>26</v>
      </c>
      <c r="E47" s="15">
        <v>32500</v>
      </c>
      <c r="F47" s="15" t="s">
        <v>2281</v>
      </c>
    </row>
    <row r="48" spans="1:6" x14ac:dyDescent="0.25">
      <c r="A48" s="15" t="s">
        <v>2371</v>
      </c>
      <c r="B48" s="15" t="s">
        <v>141</v>
      </c>
      <c r="C48" s="15" t="s">
        <v>2372</v>
      </c>
      <c r="D48" s="15" t="s">
        <v>26</v>
      </c>
      <c r="E48" s="15">
        <v>12500</v>
      </c>
      <c r="F48" s="15" t="s">
        <v>2281</v>
      </c>
    </row>
    <row r="49" spans="1:6" x14ac:dyDescent="0.25">
      <c r="A49" s="15" t="s">
        <v>2373</v>
      </c>
      <c r="B49" s="15" t="s">
        <v>143</v>
      </c>
      <c r="C49" s="15" t="s">
        <v>2374</v>
      </c>
      <c r="D49" s="15" t="s">
        <v>26</v>
      </c>
      <c r="E49" s="15">
        <v>49500</v>
      </c>
      <c r="F49" s="15" t="s">
        <v>2281</v>
      </c>
    </row>
    <row r="50" spans="1:6" x14ac:dyDescent="0.25">
      <c r="A50" s="15" t="s">
        <v>2375</v>
      </c>
      <c r="B50" s="15" t="s">
        <v>145</v>
      </c>
      <c r="C50" s="15" t="s">
        <v>2376</v>
      </c>
      <c r="D50" s="15" t="s">
        <v>26</v>
      </c>
      <c r="E50" s="15">
        <v>14500</v>
      </c>
      <c r="F50" s="15" t="s">
        <v>2281</v>
      </c>
    </row>
    <row r="51" spans="1:6" x14ac:dyDescent="0.25">
      <c r="A51" s="15" t="s">
        <v>2377</v>
      </c>
      <c r="B51" s="15" t="s">
        <v>146</v>
      </c>
      <c r="C51" s="15" t="s">
        <v>2378</v>
      </c>
      <c r="D51" s="15" t="s">
        <v>26</v>
      </c>
      <c r="E51" s="15">
        <v>30500</v>
      </c>
      <c r="F51" s="15" t="s">
        <v>2281</v>
      </c>
    </row>
    <row r="52" spans="1:6" x14ac:dyDescent="0.25">
      <c r="A52" s="15" t="s">
        <v>2379</v>
      </c>
      <c r="B52" s="15" t="s">
        <v>147</v>
      </c>
      <c r="C52" s="15" t="s">
        <v>2380</v>
      </c>
      <c r="D52" s="15" t="s">
        <v>32</v>
      </c>
      <c r="E52" s="15">
        <v>24000</v>
      </c>
      <c r="F52" s="15" t="s">
        <v>2281</v>
      </c>
    </row>
    <row r="53" spans="1:6" x14ac:dyDescent="0.25">
      <c r="A53" s="15" t="s">
        <v>2381</v>
      </c>
      <c r="B53" s="15" t="s">
        <v>149</v>
      </c>
      <c r="C53" s="15" t="s">
        <v>2382</v>
      </c>
      <c r="D53" s="15" t="s">
        <v>32</v>
      </c>
      <c r="E53" s="15">
        <v>46000</v>
      </c>
      <c r="F53" s="15" t="s">
        <v>2281</v>
      </c>
    </row>
    <row r="54" spans="1:6" x14ac:dyDescent="0.25">
      <c r="A54" s="15" t="s">
        <v>2383</v>
      </c>
      <c r="B54" s="15" t="s">
        <v>150</v>
      </c>
      <c r="C54" s="15" t="s">
        <v>2384</v>
      </c>
      <c r="D54" s="15" t="s">
        <v>32</v>
      </c>
      <c r="E54" s="15">
        <v>28500</v>
      </c>
      <c r="F54" s="15" t="s">
        <v>2281</v>
      </c>
    </row>
    <row r="55" spans="1:6" x14ac:dyDescent="0.25">
      <c r="A55" s="15" t="s">
        <v>2385</v>
      </c>
      <c r="B55" s="15" t="s">
        <v>151</v>
      </c>
      <c r="C55" s="15" t="s">
        <v>2386</v>
      </c>
      <c r="D55" s="15" t="s">
        <v>32</v>
      </c>
      <c r="E55" s="15">
        <v>10000</v>
      </c>
      <c r="F55" s="15" t="s">
        <v>2281</v>
      </c>
    </row>
    <row r="56" spans="1:6" x14ac:dyDescent="0.25">
      <c r="A56" s="15" t="s">
        <v>2387</v>
      </c>
      <c r="B56" s="15" t="s">
        <v>155</v>
      </c>
      <c r="C56" s="15" t="s">
        <v>2388</v>
      </c>
      <c r="D56" s="15" t="s">
        <v>32</v>
      </c>
      <c r="E56" s="15">
        <v>5000</v>
      </c>
      <c r="F56" s="15" t="s">
        <v>2281</v>
      </c>
    </row>
    <row r="57" spans="1:6" x14ac:dyDescent="0.25">
      <c r="A57" s="15" t="s">
        <v>2389</v>
      </c>
      <c r="B57" s="15" t="s">
        <v>157</v>
      </c>
      <c r="C57" s="15" t="s">
        <v>2390</v>
      </c>
      <c r="D57" s="15" t="s">
        <v>32</v>
      </c>
      <c r="E57" s="15">
        <v>25500</v>
      </c>
      <c r="F57" s="15" t="s">
        <v>2281</v>
      </c>
    </row>
    <row r="58" spans="1:6" x14ac:dyDescent="0.25">
      <c r="A58" s="15" t="s">
        <v>2391</v>
      </c>
      <c r="B58" s="15" t="s">
        <v>159</v>
      </c>
      <c r="C58" s="15" t="s">
        <v>2392</v>
      </c>
      <c r="D58" s="15" t="s">
        <v>32</v>
      </c>
      <c r="E58" s="15">
        <v>10500</v>
      </c>
      <c r="F58" s="15" t="s">
        <v>2281</v>
      </c>
    </row>
    <row r="59" spans="1:6" x14ac:dyDescent="0.25">
      <c r="A59" s="15" t="s">
        <v>2393</v>
      </c>
      <c r="B59" s="15" t="s">
        <v>160</v>
      </c>
      <c r="C59" s="15" t="s">
        <v>2394</v>
      </c>
      <c r="D59" s="15" t="s">
        <v>32</v>
      </c>
      <c r="E59" s="15">
        <v>45000</v>
      </c>
      <c r="F59" s="15" t="s">
        <v>2281</v>
      </c>
    </row>
    <row r="60" spans="1:6" x14ac:dyDescent="0.25">
      <c r="A60" s="15" t="s">
        <v>2395</v>
      </c>
      <c r="B60" s="15" t="s">
        <v>162</v>
      </c>
      <c r="C60" s="15" t="s">
        <v>2396</v>
      </c>
      <c r="D60" s="15" t="s">
        <v>32</v>
      </c>
      <c r="E60" s="15">
        <v>16000</v>
      </c>
      <c r="F60" s="15" t="s">
        <v>2281</v>
      </c>
    </row>
    <row r="61" spans="1:6" x14ac:dyDescent="0.25">
      <c r="A61" s="15" t="s">
        <v>2397</v>
      </c>
      <c r="B61" s="15" t="s">
        <v>163</v>
      </c>
      <c r="C61" s="15" t="s">
        <v>2398</v>
      </c>
      <c r="D61" s="15" t="s">
        <v>32</v>
      </c>
      <c r="E61" s="15">
        <v>44500</v>
      </c>
      <c r="F61" s="15" t="s">
        <v>2281</v>
      </c>
    </row>
    <row r="62" spans="1:6" x14ac:dyDescent="0.25">
      <c r="A62" s="15" t="s">
        <v>2399</v>
      </c>
      <c r="B62" s="15" t="s">
        <v>165</v>
      </c>
      <c r="C62" s="15" t="s">
        <v>2400</v>
      </c>
      <c r="D62" s="15" t="s">
        <v>26</v>
      </c>
      <c r="E62" s="15">
        <v>34000</v>
      </c>
      <c r="F62" s="15" t="s">
        <v>2281</v>
      </c>
    </row>
    <row r="63" spans="1:6" x14ac:dyDescent="0.25">
      <c r="A63" s="15" t="s">
        <v>2401</v>
      </c>
      <c r="B63" s="15" t="s">
        <v>166</v>
      </c>
      <c r="C63" s="15" t="s">
        <v>2402</v>
      </c>
      <c r="D63" s="15" t="s">
        <v>24</v>
      </c>
      <c r="E63" s="15">
        <v>59500</v>
      </c>
      <c r="F63" s="15" t="s">
        <v>2281</v>
      </c>
    </row>
    <row r="64" spans="1:6" x14ac:dyDescent="0.25">
      <c r="A64" s="15" t="s">
        <v>2403</v>
      </c>
      <c r="B64" s="15" t="s">
        <v>167</v>
      </c>
      <c r="C64" s="15" t="s">
        <v>2404</v>
      </c>
      <c r="D64" s="15" t="s">
        <v>25</v>
      </c>
      <c r="E64" s="15">
        <v>20500</v>
      </c>
      <c r="F64" s="15" t="s">
        <v>2281</v>
      </c>
    </row>
    <row r="65" spans="1:6" x14ac:dyDescent="0.25">
      <c r="A65" s="15" t="s">
        <v>2405</v>
      </c>
      <c r="B65" s="15" t="s">
        <v>169</v>
      </c>
      <c r="C65" s="15" t="s">
        <v>2406</v>
      </c>
      <c r="D65" s="15" t="s">
        <v>24</v>
      </c>
      <c r="E65" s="15">
        <v>11500</v>
      </c>
      <c r="F65" s="15" t="s">
        <v>2281</v>
      </c>
    </row>
    <row r="66" spans="1:6" x14ac:dyDescent="0.25">
      <c r="A66" s="15" t="s">
        <v>2407</v>
      </c>
      <c r="B66" s="15" t="s">
        <v>171</v>
      </c>
      <c r="C66" s="15" t="s">
        <v>2408</v>
      </c>
      <c r="D66" s="15" t="s">
        <v>2341</v>
      </c>
      <c r="E66" s="15">
        <v>40000</v>
      </c>
      <c r="F66" s="15" t="s">
        <v>2281</v>
      </c>
    </row>
    <row r="67" spans="1:6" x14ac:dyDescent="0.25">
      <c r="A67" s="15" t="s">
        <v>2409</v>
      </c>
      <c r="B67" s="15" t="s">
        <v>173</v>
      </c>
      <c r="C67" s="15" t="s">
        <v>2410</v>
      </c>
      <c r="D67" s="15" t="s">
        <v>24</v>
      </c>
      <c r="E67" s="15">
        <v>41000</v>
      </c>
      <c r="F67" s="15" t="s">
        <v>2281</v>
      </c>
    </row>
    <row r="68" spans="1:6" x14ac:dyDescent="0.25">
      <c r="A68" s="15" t="s">
        <v>2411</v>
      </c>
      <c r="B68" s="15" t="s">
        <v>177</v>
      </c>
      <c r="C68" s="15" t="s">
        <v>2412</v>
      </c>
      <c r="D68" s="15" t="s">
        <v>25</v>
      </c>
      <c r="E68" s="15">
        <v>15000</v>
      </c>
      <c r="F68" s="15" t="s">
        <v>2281</v>
      </c>
    </row>
    <row r="69" spans="1:6" x14ac:dyDescent="0.25">
      <c r="A69" s="15" t="s">
        <v>2413</v>
      </c>
      <c r="B69" s="15" t="s">
        <v>179</v>
      </c>
      <c r="C69" s="15" t="s">
        <v>2414</v>
      </c>
      <c r="D69" s="15" t="s">
        <v>31</v>
      </c>
      <c r="E69" s="15">
        <v>14000</v>
      </c>
      <c r="F69" s="15" t="s">
        <v>2281</v>
      </c>
    </row>
    <row r="70" spans="1:6" x14ac:dyDescent="0.25">
      <c r="A70" s="15" t="s">
        <v>2415</v>
      </c>
      <c r="B70" s="15" t="s">
        <v>180</v>
      </c>
      <c r="C70" s="15" t="s">
        <v>2416</v>
      </c>
      <c r="D70" s="15" t="s">
        <v>24</v>
      </c>
      <c r="E70" s="15">
        <v>33500</v>
      </c>
      <c r="F70" s="15" t="s">
        <v>2281</v>
      </c>
    </row>
    <row r="71" spans="1:6" x14ac:dyDescent="0.25">
      <c r="A71" s="15" t="s">
        <v>2417</v>
      </c>
      <c r="B71" s="15" t="s">
        <v>181</v>
      </c>
      <c r="C71" s="15" t="s">
        <v>2418</v>
      </c>
      <c r="D71" s="15" t="s">
        <v>31</v>
      </c>
      <c r="E71" s="15">
        <v>14000</v>
      </c>
      <c r="F71" s="15" t="s">
        <v>2281</v>
      </c>
    </row>
    <row r="72" spans="1:6" x14ac:dyDescent="0.25">
      <c r="A72" s="15" t="s">
        <v>2419</v>
      </c>
      <c r="B72" s="15" t="s">
        <v>183</v>
      </c>
      <c r="C72" s="15" t="s">
        <v>2420</v>
      </c>
      <c r="D72" s="15" t="s">
        <v>25</v>
      </c>
      <c r="E72" s="15">
        <v>49000</v>
      </c>
      <c r="F72" s="15" t="s">
        <v>2281</v>
      </c>
    </row>
    <row r="73" spans="1:6" x14ac:dyDescent="0.25">
      <c r="A73" s="15" t="s">
        <v>2421</v>
      </c>
      <c r="B73" s="15" t="s">
        <v>184</v>
      </c>
      <c r="C73" s="15" t="s">
        <v>2422</v>
      </c>
      <c r="D73" s="15" t="s">
        <v>26</v>
      </c>
      <c r="E73" s="15">
        <v>50500</v>
      </c>
      <c r="F73" s="15" t="s">
        <v>2281</v>
      </c>
    </row>
    <row r="74" spans="1:6" x14ac:dyDescent="0.25">
      <c r="A74" s="15" t="s">
        <v>2423</v>
      </c>
      <c r="B74" s="15" t="s">
        <v>186</v>
      </c>
      <c r="C74" s="15" t="s">
        <v>2424</v>
      </c>
      <c r="D74" s="15" t="s">
        <v>26</v>
      </c>
      <c r="E74" s="15">
        <v>41000</v>
      </c>
      <c r="F74" s="15" t="s">
        <v>2281</v>
      </c>
    </row>
    <row r="75" spans="1:6" x14ac:dyDescent="0.25">
      <c r="A75" s="15" t="s">
        <v>2425</v>
      </c>
      <c r="B75" s="15" t="s">
        <v>187</v>
      </c>
      <c r="C75" s="15" t="s">
        <v>2426</v>
      </c>
      <c r="D75" s="15" t="s">
        <v>2341</v>
      </c>
      <c r="E75" s="15">
        <v>5000</v>
      </c>
      <c r="F75" s="15" t="s">
        <v>2281</v>
      </c>
    </row>
    <row r="76" spans="1:6" x14ac:dyDescent="0.25">
      <c r="A76" s="15" t="s">
        <v>2427</v>
      </c>
      <c r="B76" s="15" t="s">
        <v>189</v>
      </c>
      <c r="C76" s="15" t="s">
        <v>2428</v>
      </c>
      <c r="D76" s="15" t="s">
        <v>25</v>
      </c>
      <c r="E76" s="15">
        <v>44000</v>
      </c>
      <c r="F76" s="15" t="s">
        <v>2281</v>
      </c>
    </row>
    <row r="77" spans="1:6" x14ac:dyDescent="0.25">
      <c r="A77" s="15" t="s">
        <v>2429</v>
      </c>
      <c r="B77" s="15" t="s">
        <v>191</v>
      </c>
      <c r="C77" s="15" t="s">
        <v>2430</v>
      </c>
      <c r="D77" s="15" t="s">
        <v>32</v>
      </c>
      <c r="E77" s="15">
        <v>39500</v>
      </c>
      <c r="F77" s="15" t="s">
        <v>2281</v>
      </c>
    </row>
    <row r="78" spans="1:6" x14ac:dyDescent="0.25">
      <c r="A78" s="15" t="s">
        <v>2431</v>
      </c>
      <c r="B78" s="15" t="s">
        <v>192</v>
      </c>
      <c r="C78" s="15" t="s">
        <v>2432</v>
      </c>
      <c r="D78" s="15" t="s">
        <v>24</v>
      </c>
      <c r="E78" s="15">
        <v>49500</v>
      </c>
      <c r="F78" s="15" t="s">
        <v>2281</v>
      </c>
    </row>
    <row r="79" spans="1:6" x14ac:dyDescent="0.25">
      <c r="A79" s="15" t="s">
        <v>2433</v>
      </c>
      <c r="B79" s="15" t="s">
        <v>194</v>
      </c>
      <c r="C79" s="15" t="s">
        <v>2434</v>
      </c>
      <c r="D79" s="15" t="s">
        <v>32</v>
      </c>
      <c r="E79" s="15">
        <v>13500</v>
      </c>
      <c r="F79" s="15" t="s">
        <v>2281</v>
      </c>
    </row>
    <row r="80" spans="1:6" x14ac:dyDescent="0.25">
      <c r="A80" s="15" t="s">
        <v>2435</v>
      </c>
      <c r="B80" s="15" t="s">
        <v>195</v>
      </c>
      <c r="C80" s="15" t="s">
        <v>2436</v>
      </c>
      <c r="D80" s="15" t="s">
        <v>32</v>
      </c>
      <c r="E80" s="15">
        <v>3000</v>
      </c>
      <c r="F80" s="15" t="s">
        <v>2281</v>
      </c>
    </row>
    <row r="81" spans="1:6" x14ac:dyDescent="0.25">
      <c r="A81" s="15" t="s">
        <v>2437</v>
      </c>
      <c r="B81" s="15" t="s">
        <v>196</v>
      </c>
      <c r="C81" s="15" t="s">
        <v>2438</v>
      </c>
      <c r="D81" s="15" t="s">
        <v>32</v>
      </c>
      <c r="E81" s="15">
        <v>12500</v>
      </c>
      <c r="F81" s="15" t="s">
        <v>2281</v>
      </c>
    </row>
    <row r="82" spans="1:6" x14ac:dyDescent="0.25">
      <c r="A82" s="15" t="s">
        <v>2439</v>
      </c>
      <c r="B82" s="15" t="s">
        <v>198</v>
      </c>
      <c r="C82" s="15" t="s">
        <v>2440</v>
      </c>
      <c r="D82" s="15" t="s">
        <v>24</v>
      </c>
      <c r="E82" s="15">
        <v>59000</v>
      </c>
      <c r="F82" s="15" t="s">
        <v>2281</v>
      </c>
    </row>
    <row r="83" spans="1:6" x14ac:dyDescent="0.25">
      <c r="A83" s="15" t="s">
        <v>2441</v>
      </c>
      <c r="B83" s="15" t="s">
        <v>199</v>
      </c>
      <c r="C83" s="15" t="s">
        <v>2442</v>
      </c>
      <c r="D83" s="15" t="s">
        <v>31</v>
      </c>
      <c r="E83" s="15">
        <v>34500</v>
      </c>
      <c r="F83" s="15" t="s">
        <v>2281</v>
      </c>
    </row>
    <row r="84" spans="1:6" x14ac:dyDescent="0.25">
      <c r="A84" s="15" t="s">
        <v>2443</v>
      </c>
      <c r="B84" s="15" t="s">
        <v>201</v>
      </c>
      <c r="C84" s="15" t="s">
        <v>2444</v>
      </c>
      <c r="D84" s="15" t="s">
        <v>24</v>
      </c>
      <c r="E84" s="15">
        <v>32500</v>
      </c>
      <c r="F84" s="15" t="s">
        <v>2281</v>
      </c>
    </row>
    <row r="85" spans="1:6" x14ac:dyDescent="0.25">
      <c r="A85" s="15" t="s">
        <v>2445</v>
      </c>
      <c r="B85" s="15" t="s">
        <v>203</v>
      </c>
      <c r="C85" s="15" t="s">
        <v>2446</v>
      </c>
      <c r="D85" s="15" t="s">
        <v>31</v>
      </c>
      <c r="E85" s="15">
        <v>37000</v>
      </c>
      <c r="F85" s="15" t="s">
        <v>2281</v>
      </c>
    </row>
    <row r="86" spans="1:6" x14ac:dyDescent="0.25">
      <c r="A86" s="15" t="s">
        <v>2447</v>
      </c>
      <c r="B86" s="15" t="s">
        <v>204</v>
      </c>
      <c r="C86" s="15" t="s">
        <v>2448</v>
      </c>
      <c r="D86" s="15" t="s">
        <v>25</v>
      </c>
      <c r="E86" s="15">
        <v>15500</v>
      </c>
      <c r="F86" s="15" t="s">
        <v>2281</v>
      </c>
    </row>
    <row r="87" spans="1:6" x14ac:dyDescent="0.25">
      <c r="A87" s="15" t="s">
        <v>2449</v>
      </c>
      <c r="B87" s="15" t="s">
        <v>205</v>
      </c>
      <c r="C87" s="15" t="s">
        <v>2450</v>
      </c>
      <c r="D87" s="15" t="s">
        <v>24</v>
      </c>
      <c r="E87" s="15">
        <v>16000</v>
      </c>
      <c r="F87" s="15" t="s">
        <v>2281</v>
      </c>
    </row>
    <row r="88" spans="1:6" x14ac:dyDescent="0.25">
      <c r="A88" s="15" t="s">
        <v>2451</v>
      </c>
      <c r="B88" s="15" t="s">
        <v>208</v>
      </c>
      <c r="C88" s="15" t="s">
        <v>2452</v>
      </c>
      <c r="D88" s="15" t="s">
        <v>31</v>
      </c>
      <c r="E88" s="15">
        <v>35000</v>
      </c>
      <c r="F88" s="15" t="s">
        <v>2281</v>
      </c>
    </row>
    <row r="89" spans="1:6" x14ac:dyDescent="0.25">
      <c r="A89" s="15" t="s">
        <v>2453</v>
      </c>
      <c r="B89" s="15" t="s">
        <v>210</v>
      </c>
      <c r="C89" s="15" t="s">
        <v>2454</v>
      </c>
      <c r="D89" s="15" t="s">
        <v>31</v>
      </c>
      <c r="E89" s="15">
        <v>9500</v>
      </c>
      <c r="F89" s="15" t="s">
        <v>2281</v>
      </c>
    </row>
    <row r="90" spans="1:6" x14ac:dyDescent="0.25">
      <c r="A90" s="15" t="s">
        <v>2455</v>
      </c>
      <c r="B90" s="15" t="s">
        <v>212</v>
      </c>
      <c r="C90" s="15" t="s">
        <v>2456</v>
      </c>
      <c r="D90" s="15" t="s">
        <v>25</v>
      </c>
      <c r="E90" s="15">
        <v>16000</v>
      </c>
      <c r="F90" s="15" t="s">
        <v>2281</v>
      </c>
    </row>
    <row r="91" spans="1:6" x14ac:dyDescent="0.25">
      <c r="A91" s="15" t="s">
        <v>2457</v>
      </c>
      <c r="B91" s="15" t="s">
        <v>213</v>
      </c>
      <c r="C91" s="15" t="s">
        <v>2458</v>
      </c>
      <c r="D91" s="15" t="s">
        <v>32</v>
      </c>
      <c r="E91" s="15">
        <v>51000</v>
      </c>
      <c r="F91" s="15" t="s">
        <v>2281</v>
      </c>
    </row>
    <row r="92" spans="1:6" x14ac:dyDescent="0.25">
      <c r="A92" s="15" t="s">
        <v>2459</v>
      </c>
      <c r="B92" s="15" t="s">
        <v>215</v>
      </c>
      <c r="C92" s="15" t="s">
        <v>2460</v>
      </c>
      <c r="D92" s="15" t="s">
        <v>31</v>
      </c>
      <c r="E92" s="15">
        <v>4500</v>
      </c>
      <c r="F92" s="15" t="s">
        <v>2281</v>
      </c>
    </row>
    <row r="93" spans="1:6" x14ac:dyDescent="0.25">
      <c r="A93" s="15" t="s">
        <v>2461</v>
      </c>
      <c r="B93" s="15" t="s">
        <v>217</v>
      </c>
      <c r="C93" s="15" t="s">
        <v>2462</v>
      </c>
      <c r="D93" s="15" t="s">
        <v>2341</v>
      </c>
      <c r="E93" s="15">
        <v>36000</v>
      </c>
      <c r="F93" s="15" t="s">
        <v>2281</v>
      </c>
    </row>
    <row r="94" spans="1:6" x14ac:dyDescent="0.25">
      <c r="A94" s="15" t="s">
        <v>2463</v>
      </c>
      <c r="B94" s="15" t="s">
        <v>219</v>
      </c>
      <c r="C94" s="15" t="s">
        <v>2464</v>
      </c>
      <c r="D94" s="15" t="s">
        <v>25</v>
      </c>
      <c r="E94" s="15">
        <v>59500</v>
      </c>
      <c r="F94" s="15" t="s">
        <v>2281</v>
      </c>
    </row>
    <row r="95" spans="1:6" x14ac:dyDescent="0.25">
      <c r="A95" s="15" t="s">
        <v>2465</v>
      </c>
      <c r="B95" s="15" t="s">
        <v>221</v>
      </c>
      <c r="C95" s="15" t="s">
        <v>2466</v>
      </c>
      <c r="D95" s="15" t="s">
        <v>25</v>
      </c>
      <c r="E95" s="15">
        <v>16500</v>
      </c>
      <c r="F95" s="15" t="s">
        <v>2281</v>
      </c>
    </row>
    <row r="96" spans="1:6" x14ac:dyDescent="0.25">
      <c r="A96" s="15" t="s">
        <v>2467</v>
      </c>
      <c r="B96" s="15" t="s">
        <v>222</v>
      </c>
      <c r="C96" s="15" t="s">
        <v>2468</v>
      </c>
      <c r="D96" s="15" t="s">
        <v>31</v>
      </c>
      <c r="E96" s="15">
        <v>52500</v>
      </c>
      <c r="F96" s="15" t="s">
        <v>2281</v>
      </c>
    </row>
    <row r="97" spans="1:6" x14ac:dyDescent="0.25">
      <c r="A97" s="15" t="s">
        <v>2469</v>
      </c>
      <c r="B97" s="15" t="s">
        <v>224</v>
      </c>
      <c r="C97" s="15" t="s">
        <v>2470</v>
      </c>
      <c r="D97" s="15" t="s">
        <v>26</v>
      </c>
      <c r="E97" s="15">
        <v>7500</v>
      </c>
      <c r="F97" s="15" t="s">
        <v>2281</v>
      </c>
    </row>
    <row r="98" spans="1:6" x14ac:dyDescent="0.25">
      <c r="A98" s="15" t="s">
        <v>2471</v>
      </c>
      <c r="B98" s="15" t="s">
        <v>225</v>
      </c>
      <c r="C98" s="15" t="s">
        <v>2472</v>
      </c>
      <c r="D98" s="15" t="s">
        <v>26</v>
      </c>
      <c r="E98" s="15">
        <v>5500</v>
      </c>
      <c r="F98" s="15" t="s">
        <v>2281</v>
      </c>
    </row>
    <row r="99" spans="1:6" x14ac:dyDescent="0.25">
      <c r="A99" s="15" t="s">
        <v>2473</v>
      </c>
      <c r="B99" s="15" t="s">
        <v>227</v>
      </c>
      <c r="C99" s="15" t="s">
        <v>2474</v>
      </c>
      <c r="D99" s="15" t="s">
        <v>31</v>
      </c>
      <c r="E99" s="15">
        <v>24500</v>
      </c>
      <c r="F99" s="15" t="s">
        <v>2281</v>
      </c>
    </row>
    <row r="100" spans="1:6" x14ac:dyDescent="0.25">
      <c r="A100" s="15" t="s">
        <v>2475</v>
      </c>
      <c r="B100" s="15" t="s">
        <v>229</v>
      </c>
      <c r="C100" s="15" t="s">
        <v>2476</v>
      </c>
      <c r="D100" s="15" t="s">
        <v>25</v>
      </c>
      <c r="E100" s="15">
        <v>14500</v>
      </c>
      <c r="F100" s="15" t="s">
        <v>2281</v>
      </c>
    </row>
    <row r="101" spans="1:6" x14ac:dyDescent="0.25">
      <c r="A101" s="15" t="s">
        <v>2477</v>
      </c>
      <c r="B101" s="15" t="s">
        <v>231</v>
      </c>
      <c r="C101" s="15" t="s">
        <v>2478</v>
      </c>
      <c r="D101" s="15" t="s">
        <v>25</v>
      </c>
      <c r="E101" s="15">
        <v>53000</v>
      </c>
      <c r="F101" s="15" t="s">
        <v>2281</v>
      </c>
    </row>
    <row r="102" spans="1:6" x14ac:dyDescent="0.25">
      <c r="A102" s="15"/>
      <c r="B102" s="15"/>
      <c r="C102" s="15"/>
      <c r="D102" s="15"/>
      <c r="E102" s="15"/>
      <c r="F102" s="15"/>
    </row>
    <row r="103" spans="1:6" x14ac:dyDescent="0.25">
      <c r="A103" s="15"/>
      <c r="B103" s="15"/>
      <c r="C103" s="15"/>
      <c r="D103" s="15"/>
      <c r="E103" s="15"/>
      <c r="F103" s="15"/>
    </row>
    <row r="104" spans="1:6" x14ac:dyDescent="0.25">
      <c r="A104" s="15"/>
      <c r="B104" s="15"/>
      <c r="C104" s="15"/>
      <c r="D104" s="15"/>
      <c r="E104" s="15"/>
      <c r="F104" s="15"/>
    </row>
    <row r="105" spans="1:6" x14ac:dyDescent="0.25">
      <c r="A105" s="15"/>
      <c r="B105" s="15"/>
      <c r="C105" s="15"/>
      <c r="D105" s="15"/>
      <c r="E105" s="15"/>
      <c r="F105" s="15"/>
    </row>
    <row r="106" spans="1:6" x14ac:dyDescent="0.25">
      <c r="A106" s="15"/>
      <c r="B106" s="15"/>
      <c r="C106" s="15"/>
      <c r="D106" s="15"/>
      <c r="E106" s="15"/>
      <c r="F106" s="15"/>
    </row>
    <row r="107" spans="1:6" x14ac:dyDescent="0.25">
      <c r="A107" s="15"/>
      <c r="B107" s="15"/>
      <c r="C107" s="15"/>
      <c r="D107" s="15"/>
      <c r="E107" s="15"/>
      <c r="F107" s="15"/>
    </row>
    <row r="108" spans="1:6" x14ac:dyDescent="0.25">
      <c r="A108" s="15"/>
      <c r="B108" s="15"/>
      <c r="C108" s="15"/>
      <c r="D108" s="15"/>
      <c r="E108" s="15"/>
      <c r="F108" s="15"/>
    </row>
    <row r="109" spans="1:6" x14ac:dyDescent="0.25">
      <c r="A109" s="15"/>
      <c r="B109" s="15"/>
      <c r="C109" s="15"/>
      <c r="D109" s="15"/>
      <c r="E109" s="15"/>
      <c r="F109" s="15"/>
    </row>
    <row r="110" spans="1:6" x14ac:dyDescent="0.25">
      <c r="A110" s="15"/>
      <c r="B110" s="15"/>
      <c r="C110" s="15"/>
      <c r="D110" s="15"/>
      <c r="E110" s="15"/>
      <c r="F110" s="15"/>
    </row>
    <row r="111" spans="1:6" x14ac:dyDescent="0.25">
      <c r="A111" s="15"/>
      <c r="B111" s="15"/>
      <c r="C111" s="15"/>
      <c r="D111" s="15"/>
      <c r="E111" s="15"/>
      <c r="F111" s="15"/>
    </row>
    <row r="112" spans="1:6" x14ac:dyDescent="0.25">
      <c r="A112" s="15"/>
      <c r="B112" s="15"/>
      <c r="C112" s="15"/>
      <c r="D112" s="15"/>
      <c r="E112" s="15"/>
      <c r="F112" s="15"/>
    </row>
    <row r="113" spans="1:6" x14ac:dyDescent="0.25">
      <c r="A113" s="15"/>
      <c r="B113" s="15"/>
      <c r="C113" s="15"/>
      <c r="D113" s="15"/>
      <c r="E113" s="15"/>
      <c r="F113" s="15"/>
    </row>
    <row r="114" spans="1:6" x14ac:dyDescent="0.25">
      <c r="A114" s="15"/>
      <c r="B114" s="15"/>
      <c r="C114" s="15"/>
      <c r="D114" s="15"/>
      <c r="E114" s="15"/>
      <c r="F114" s="15"/>
    </row>
    <row r="115" spans="1:6" x14ac:dyDescent="0.25">
      <c r="A115" s="15"/>
      <c r="B115" s="15"/>
      <c r="C115" s="15"/>
      <c r="D115" s="15"/>
      <c r="E115" s="15"/>
      <c r="F115" s="15"/>
    </row>
    <row r="116" spans="1:6" x14ac:dyDescent="0.25">
      <c r="A116" s="15"/>
      <c r="B116" s="15"/>
      <c r="C116" s="15"/>
      <c r="D116" s="15"/>
      <c r="E116" s="15"/>
      <c r="F116" s="15"/>
    </row>
    <row r="117" spans="1:6" x14ac:dyDescent="0.25">
      <c r="A117" s="15"/>
      <c r="B117" s="15"/>
      <c r="C117" s="15"/>
      <c r="D117" s="15"/>
      <c r="E117" s="15"/>
      <c r="F117" s="15"/>
    </row>
    <row r="118" spans="1:6" x14ac:dyDescent="0.25">
      <c r="A118" s="15"/>
      <c r="B118" s="15"/>
      <c r="C118" s="15"/>
      <c r="D118" s="15"/>
      <c r="E118" s="15"/>
      <c r="F118" s="15"/>
    </row>
    <row r="119" spans="1:6" x14ac:dyDescent="0.25">
      <c r="A119" s="15"/>
      <c r="B119" s="15"/>
      <c r="C119" s="15"/>
      <c r="D119" s="15"/>
      <c r="E119" s="15"/>
      <c r="F119" s="15"/>
    </row>
    <row r="120" spans="1:6" x14ac:dyDescent="0.25">
      <c r="A120" s="15"/>
      <c r="B120" s="15"/>
      <c r="C120" s="15"/>
      <c r="D120" s="15"/>
      <c r="E120" s="15"/>
      <c r="F120" s="15"/>
    </row>
    <row r="121" spans="1:6" x14ac:dyDescent="0.25">
      <c r="A121" s="15"/>
      <c r="B121" s="15"/>
      <c r="C121" s="15"/>
      <c r="D121" s="15"/>
      <c r="E121" s="15"/>
      <c r="F121" s="15"/>
    </row>
    <row r="122" spans="1:6" x14ac:dyDescent="0.25">
      <c r="A122" s="15"/>
      <c r="B122" s="15"/>
      <c r="C122" s="15"/>
      <c r="D122" s="15"/>
      <c r="E122" s="15"/>
      <c r="F122" s="15"/>
    </row>
    <row r="123" spans="1:6" x14ac:dyDescent="0.25">
      <c r="A123" s="15"/>
      <c r="B123" s="15"/>
      <c r="C123" s="15"/>
      <c r="D123" s="15"/>
      <c r="E123" s="15"/>
      <c r="F123" s="15"/>
    </row>
    <row r="124" spans="1:6" x14ac:dyDescent="0.25">
      <c r="A124" s="15"/>
      <c r="B124" s="15"/>
      <c r="C124" s="15"/>
      <c r="D124" s="15"/>
      <c r="E124" s="15"/>
      <c r="F124" s="15"/>
    </row>
    <row r="125" spans="1:6" x14ac:dyDescent="0.25">
      <c r="A125" s="15"/>
      <c r="B125" s="15"/>
      <c r="C125" s="15"/>
      <c r="D125" s="15"/>
      <c r="E125" s="15"/>
      <c r="F125" s="15"/>
    </row>
    <row r="126" spans="1:6" x14ac:dyDescent="0.25">
      <c r="A126" s="15"/>
      <c r="B126" s="15"/>
      <c r="C126" s="15"/>
      <c r="D126" s="15"/>
      <c r="E126" s="15"/>
      <c r="F126" s="15"/>
    </row>
    <row r="127" spans="1:6" x14ac:dyDescent="0.25">
      <c r="A127" s="15"/>
      <c r="B127" s="15"/>
      <c r="C127" s="15"/>
      <c r="D127" s="15"/>
      <c r="E127" s="15"/>
      <c r="F127" s="15"/>
    </row>
    <row r="128" spans="1:6" x14ac:dyDescent="0.25">
      <c r="A128" s="15"/>
      <c r="B128" s="15"/>
      <c r="C128" s="15"/>
      <c r="D128" s="15"/>
      <c r="E128" s="15"/>
      <c r="F128" s="15"/>
    </row>
    <row r="129" spans="1:6" x14ac:dyDescent="0.25">
      <c r="A129" s="15"/>
      <c r="B129" s="15"/>
      <c r="C129" s="15"/>
      <c r="D129" s="15"/>
      <c r="E129" s="15"/>
      <c r="F129" s="15"/>
    </row>
    <row r="130" spans="1:6" x14ac:dyDescent="0.25">
      <c r="A130" s="15"/>
      <c r="B130" s="15"/>
      <c r="C130" s="15"/>
      <c r="D130" s="15"/>
      <c r="E130" s="15"/>
      <c r="F130" s="15"/>
    </row>
    <row r="131" spans="1:6" x14ac:dyDescent="0.25">
      <c r="A131" s="15"/>
      <c r="B131" s="15"/>
      <c r="C131" s="15"/>
      <c r="D131" s="15"/>
      <c r="E131" s="15"/>
      <c r="F131" s="15"/>
    </row>
    <row r="132" spans="1:6" x14ac:dyDescent="0.25">
      <c r="A132" s="15"/>
      <c r="B132" s="15"/>
      <c r="C132" s="15"/>
      <c r="D132" s="15"/>
      <c r="E132" s="15"/>
      <c r="F132" s="15"/>
    </row>
    <row r="133" spans="1:6" x14ac:dyDescent="0.25">
      <c r="A133" s="15"/>
      <c r="B133" s="15"/>
      <c r="C133" s="15"/>
      <c r="D133" s="15"/>
      <c r="E133" s="15"/>
      <c r="F133" s="15"/>
    </row>
    <row r="134" spans="1:6" x14ac:dyDescent="0.25">
      <c r="A134" s="15"/>
      <c r="B134" s="15"/>
      <c r="C134" s="15"/>
      <c r="D134" s="15"/>
      <c r="E134" s="15"/>
      <c r="F134" s="15"/>
    </row>
    <row r="135" spans="1:6" x14ac:dyDescent="0.25">
      <c r="A135" s="15"/>
      <c r="B135" s="15"/>
      <c r="C135" s="15"/>
      <c r="D135" s="15"/>
      <c r="E135" s="15"/>
      <c r="F135" s="15"/>
    </row>
    <row r="136" spans="1:6" x14ac:dyDescent="0.25">
      <c r="A136" s="15"/>
      <c r="B136" s="15"/>
      <c r="C136" s="15"/>
      <c r="D136" s="15"/>
      <c r="E136" s="15"/>
      <c r="F136" s="15"/>
    </row>
    <row r="137" spans="1:6" x14ac:dyDescent="0.25">
      <c r="A137" s="15"/>
      <c r="B137" s="15"/>
      <c r="C137" s="15"/>
      <c r="D137" s="15"/>
      <c r="E137" s="15"/>
      <c r="F137" s="15"/>
    </row>
    <row r="138" spans="1:6" x14ac:dyDescent="0.25">
      <c r="A138" s="15"/>
      <c r="B138" s="15"/>
      <c r="C138" s="15"/>
      <c r="D138" s="15"/>
      <c r="E138" s="15"/>
      <c r="F138" s="15"/>
    </row>
    <row r="139" spans="1:6" x14ac:dyDescent="0.25">
      <c r="A139" s="15"/>
      <c r="B139" s="15"/>
      <c r="C139" s="15"/>
      <c r="D139" s="15"/>
      <c r="E139" s="15"/>
      <c r="F139" s="15"/>
    </row>
    <row r="140" spans="1:6" x14ac:dyDescent="0.25">
      <c r="A140" s="15"/>
      <c r="B140" s="15"/>
      <c r="C140" s="15"/>
      <c r="D140" s="15"/>
      <c r="E140" s="15"/>
      <c r="F140" s="15"/>
    </row>
    <row r="141" spans="1:6" x14ac:dyDescent="0.25">
      <c r="A141" s="15"/>
      <c r="B141" s="15"/>
      <c r="C141" s="15"/>
      <c r="D141" s="15"/>
      <c r="E141" s="15"/>
      <c r="F141" s="15"/>
    </row>
    <row r="142" spans="1:6" x14ac:dyDescent="0.25">
      <c r="A142" s="15"/>
      <c r="B142" s="15"/>
      <c r="C142" s="15"/>
      <c r="D142" s="15"/>
      <c r="E142" s="15"/>
      <c r="F142" s="15"/>
    </row>
    <row r="143" spans="1:6" x14ac:dyDescent="0.25">
      <c r="A143" s="15"/>
      <c r="B143" s="15"/>
      <c r="C143" s="15"/>
      <c r="D143" s="15"/>
      <c r="E143" s="15"/>
      <c r="F143" s="15"/>
    </row>
    <row r="144" spans="1:6" x14ac:dyDescent="0.25">
      <c r="A144" s="15"/>
      <c r="B144" s="15"/>
      <c r="C144" s="15"/>
      <c r="D144" s="15"/>
      <c r="E144" s="15"/>
      <c r="F144" s="15"/>
    </row>
    <row r="145" spans="1:6" x14ac:dyDescent="0.25">
      <c r="A145" s="15"/>
      <c r="B145" s="15"/>
      <c r="C145" s="15"/>
      <c r="D145" s="15"/>
      <c r="E145" s="15"/>
      <c r="F145" s="15"/>
    </row>
    <row r="146" spans="1:6" x14ac:dyDescent="0.25">
      <c r="A146" s="15"/>
      <c r="B146" s="15"/>
      <c r="C146" s="15"/>
      <c r="D146" s="15"/>
      <c r="E146" s="15"/>
      <c r="F146" s="15"/>
    </row>
    <row r="147" spans="1:6" x14ac:dyDescent="0.25">
      <c r="A147" s="15"/>
      <c r="B147" s="15"/>
      <c r="C147" s="15"/>
      <c r="D147" s="15"/>
      <c r="E147" s="15"/>
      <c r="F147" s="15"/>
    </row>
    <row r="148" spans="1:6" x14ac:dyDescent="0.25">
      <c r="A148" s="15"/>
      <c r="B148" s="15"/>
      <c r="C148" s="15"/>
      <c r="D148" s="15"/>
      <c r="E148" s="15"/>
      <c r="F148" s="15"/>
    </row>
    <row r="149" spans="1:6" x14ac:dyDescent="0.25">
      <c r="A149" s="15"/>
      <c r="B149" s="15"/>
      <c r="C149" s="15"/>
      <c r="D149" s="15"/>
      <c r="E149" s="15"/>
      <c r="F149" s="15"/>
    </row>
    <row r="150" spans="1:6" x14ac:dyDescent="0.25">
      <c r="A150" s="15"/>
      <c r="B150" s="15"/>
      <c r="C150" s="15"/>
      <c r="D150" s="15"/>
      <c r="E150" s="15"/>
      <c r="F150" s="15"/>
    </row>
    <row r="151" spans="1:6" x14ac:dyDescent="0.25">
      <c r="A151" s="15"/>
      <c r="B151" s="15"/>
      <c r="C151" s="15"/>
      <c r="D151" s="15"/>
      <c r="E151" s="15"/>
      <c r="F151" s="15"/>
    </row>
    <row r="152" spans="1:6" x14ac:dyDescent="0.25">
      <c r="A152" s="15"/>
      <c r="B152" s="15"/>
      <c r="C152" s="15"/>
      <c r="D152" s="15"/>
      <c r="E152" s="15"/>
      <c r="F152" s="15"/>
    </row>
    <row r="153" spans="1:6" x14ac:dyDescent="0.25">
      <c r="A153" s="15"/>
      <c r="B153" s="15"/>
      <c r="C153" s="15"/>
      <c r="D153" s="15"/>
      <c r="E153" s="15"/>
      <c r="F153" s="15"/>
    </row>
    <row r="154" spans="1:6" x14ac:dyDescent="0.25">
      <c r="A154" s="15"/>
      <c r="B154" s="15"/>
      <c r="C154" s="15"/>
      <c r="D154" s="15"/>
      <c r="E154" s="15"/>
      <c r="F154" s="15"/>
    </row>
    <row r="155" spans="1:6" x14ac:dyDescent="0.25">
      <c r="A155" s="15"/>
      <c r="B155" s="15"/>
      <c r="C155" s="15"/>
      <c r="D155" s="15"/>
      <c r="E155" s="15"/>
      <c r="F155" s="15"/>
    </row>
    <row r="156" spans="1:6" x14ac:dyDescent="0.25">
      <c r="A156" s="15"/>
      <c r="B156" s="15"/>
      <c r="C156" s="15"/>
      <c r="D156" s="15"/>
      <c r="E156" s="15"/>
      <c r="F156" s="15"/>
    </row>
    <row r="157" spans="1:6" x14ac:dyDescent="0.25">
      <c r="A157" s="15"/>
      <c r="B157" s="15"/>
      <c r="C157" s="15"/>
      <c r="D157" s="15"/>
      <c r="E157" s="15"/>
      <c r="F157" s="15"/>
    </row>
    <row r="158" spans="1:6" x14ac:dyDescent="0.25">
      <c r="A158" s="15"/>
      <c r="B158" s="15"/>
      <c r="C158" s="15"/>
      <c r="D158" s="15"/>
      <c r="E158" s="15"/>
      <c r="F158" s="15"/>
    </row>
    <row r="159" spans="1:6" x14ac:dyDescent="0.25">
      <c r="A159" s="15"/>
      <c r="B159" s="15"/>
      <c r="C159" s="15"/>
      <c r="D159" s="15"/>
      <c r="E159" s="15"/>
      <c r="F159" s="15"/>
    </row>
    <row r="160" spans="1:6" x14ac:dyDescent="0.25">
      <c r="A160" s="15"/>
      <c r="B160" s="15"/>
      <c r="C160" s="15"/>
      <c r="D160" s="15"/>
      <c r="E160" s="15"/>
      <c r="F160" s="15"/>
    </row>
    <row r="161" spans="1:6" x14ac:dyDescent="0.25">
      <c r="A161" s="15"/>
      <c r="B161" s="15"/>
      <c r="C161" s="15"/>
      <c r="D161" s="15"/>
      <c r="E161" s="15"/>
      <c r="F161" s="15"/>
    </row>
    <row r="162" spans="1:6" x14ac:dyDescent="0.25">
      <c r="A162" s="15"/>
      <c r="B162" s="15"/>
      <c r="C162" s="15"/>
      <c r="D162" s="15"/>
      <c r="E162" s="15"/>
      <c r="F162" s="15"/>
    </row>
    <row r="163" spans="1:6" x14ac:dyDescent="0.25">
      <c r="A163" s="15"/>
      <c r="B163" s="15"/>
      <c r="C163" s="15"/>
      <c r="D163" s="15"/>
      <c r="E163" s="15"/>
      <c r="F163" s="15"/>
    </row>
    <row r="164" spans="1:6" x14ac:dyDescent="0.25">
      <c r="A164" s="15"/>
      <c r="B164" s="15"/>
      <c r="C164" s="15"/>
      <c r="D164" s="15"/>
      <c r="E164" s="15"/>
      <c r="F164" s="15"/>
    </row>
    <row r="165" spans="1:6" x14ac:dyDescent="0.25">
      <c r="A165" s="15"/>
      <c r="B165" s="15"/>
      <c r="C165" s="15"/>
      <c r="D165" s="15"/>
      <c r="E165" s="15"/>
      <c r="F165" s="15"/>
    </row>
    <row r="166" spans="1:6" x14ac:dyDescent="0.25">
      <c r="A166" s="15"/>
      <c r="B166" s="15"/>
      <c r="C166" s="15"/>
      <c r="D166" s="15"/>
      <c r="E166" s="15"/>
      <c r="F166" s="15"/>
    </row>
    <row r="167" spans="1:6" x14ac:dyDescent="0.25">
      <c r="A167" s="15"/>
      <c r="B167" s="15"/>
      <c r="C167" s="15"/>
      <c r="D167" s="15"/>
      <c r="E167" s="15"/>
      <c r="F167" s="15"/>
    </row>
    <row r="168" spans="1:6" x14ac:dyDescent="0.25">
      <c r="A168" s="15"/>
      <c r="B168" s="15"/>
      <c r="C168" s="15"/>
      <c r="D168" s="15"/>
      <c r="E168" s="15"/>
      <c r="F168" s="15"/>
    </row>
    <row r="169" spans="1:6" x14ac:dyDescent="0.25">
      <c r="A169" s="15"/>
      <c r="B169" s="15"/>
      <c r="C169" s="15"/>
      <c r="D169" s="15"/>
      <c r="E169" s="15"/>
      <c r="F169" s="15"/>
    </row>
    <row r="170" spans="1:6" x14ac:dyDescent="0.25">
      <c r="A170" s="15"/>
      <c r="B170" s="15"/>
      <c r="C170" s="15"/>
      <c r="D170" s="15"/>
      <c r="E170" s="15"/>
      <c r="F170" s="15"/>
    </row>
    <row r="171" spans="1:6" x14ac:dyDescent="0.25">
      <c r="A171" s="15"/>
      <c r="B171" s="15"/>
      <c r="C171" s="15"/>
      <c r="D171" s="15"/>
      <c r="E171" s="15"/>
      <c r="F171" s="15"/>
    </row>
    <row r="172" spans="1:6" x14ac:dyDescent="0.25">
      <c r="A172" s="15"/>
      <c r="B172" s="15"/>
      <c r="C172" s="15"/>
      <c r="D172" s="15"/>
      <c r="E172" s="15"/>
      <c r="F172" s="15"/>
    </row>
    <row r="173" spans="1:6" x14ac:dyDescent="0.25">
      <c r="A173" s="15"/>
      <c r="B173" s="15"/>
      <c r="C173" s="15"/>
      <c r="D173" s="15"/>
      <c r="E173" s="15"/>
      <c r="F173" s="15"/>
    </row>
    <row r="174" spans="1:6" x14ac:dyDescent="0.25">
      <c r="A174" s="15"/>
      <c r="B174" s="15"/>
      <c r="C174" s="15"/>
      <c r="D174" s="15"/>
      <c r="E174" s="15"/>
      <c r="F174" s="15"/>
    </row>
    <row r="175" spans="1:6" x14ac:dyDescent="0.25">
      <c r="A175" s="15"/>
      <c r="B175" s="15"/>
      <c r="C175" s="15"/>
      <c r="D175" s="15"/>
      <c r="E175" s="15"/>
      <c r="F175" s="15"/>
    </row>
    <row r="176" spans="1:6" x14ac:dyDescent="0.25">
      <c r="A176" s="15"/>
      <c r="B176" s="15"/>
      <c r="C176" s="15"/>
      <c r="D176" s="15"/>
      <c r="E176" s="15"/>
      <c r="F176" s="15"/>
    </row>
    <row r="177" spans="1:6" x14ac:dyDescent="0.25">
      <c r="A177" s="15"/>
      <c r="B177" s="15"/>
      <c r="C177" s="15"/>
      <c r="D177" s="15"/>
      <c r="E177" s="15"/>
      <c r="F177" s="15"/>
    </row>
    <row r="178" spans="1:6" x14ac:dyDescent="0.25">
      <c r="A178" s="15"/>
      <c r="B178" s="15"/>
      <c r="C178" s="15"/>
      <c r="D178" s="15"/>
      <c r="E178" s="15"/>
      <c r="F178" s="15"/>
    </row>
    <row r="179" spans="1:6" x14ac:dyDescent="0.25">
      <c r="A179" s="15"/>
      <c r="B179" s="15"/>
      <c r="C179" s="15"/>
      <c r="D179" s="15"/>
      <c r="E179" s="15"/>
      <c r="F179" s="15"/>
    </row>
    <row r="180" spans="1:6" x14ac:dyDescent="0.25">
      <c r="A180" s="15"/>
      <c r="B180" s="15"/>
      <c r="C180" s="15"/>
      <c r="D180" s="15"/>
      <c r="E180" s="15"/>
      <c r="F180" s="15"/>
    </row>
    <row r="181" spans="1:6" x14ac:dyDescent="0.25">
      <c r="A181" s="15"/>
      <c r="B181" s="15"/>
      <c r="C181" s="15"/>
      <c r="D181" s="15"/>
      <c r="E181" s="15"/>
      <c r="F181" s="15"/>
    </row>
    <row r="182" spans="1:6" x14ac:dyDescent="0.25">
      <c r="A182" s="15"/>
      <c r="B182" s="15"/>
      <c r="C182" s="15"/>
      <c r="D182" s="15"/>
      <c r="E182" s="15"/>
      <c r="F182" s="15"/>
    </row>
    <row r="183" spans="1:6" x14ac:dyDescent="0.25">
      <c r="A183" s="15"/>
      <c r="B183" s="15"/>
      <c r="C183" s="15"/>
      <c r="D183" s="15"/>
      <c r="E183" s="15"/>
      <c r="F183" s="15"/>
    </row>
    <row r="184" spans="1:6" x14ac:dyDescent="0.25">
      <c r="A184" s="15"/>
      <c r="B184" s="15"/>
      <c r="C184" s="15"/>
      <c r="D184" s="15"/>
      <c r="E184" s="15"/>
      <c r="F184" s="15"/>
    </row>
    <row r="185" spans="1:6" x14ac:dyDescent="0.25">
      <c r="A185" s="15"/>
      <c r="B185" s="15"/>
      <c r="C185" s="15"/>
      <c r="D185" s="15"/>
      <c r="E185" s="15"/>
      <c r="F185" s="15"/>
    </row>
    <row r="186" spans="1:6" x14ac:dyDescent="0.25">
      <c r="A186" s="15"/>
      <c r="B186" s="15"/>
      <c r="C186" s="15"/>
      <c r="D186" s="15"/>
      <c r="E186" s="15"/>
      <c r="F186" s="15"/>
    </row>
    <row r="187" spans="1:6" x14ac:dyDescent="0.25">
      <c r="A187" s="15"/>
      <c r="B187" s="15"/>
      <c r="C187" s="15"/>
      <c r="D187" s="15"/>
      <c r="E187" s="15"/>
      <c r="F187" s="15"/>
    </row>
    <row r="188" spans="1:6" x14ac:dyDescent="0.25">
      <c r="A188" s="15"/>
      <c r="B188" s="15"/>
      <c r="C188" s="15"/>
      <c r="D188" s="15"/>
      <c r="E188" s="15"/>
      <c r="F188" s="15"/>
    </row>
    <row r="189" spans="1:6" x14ac:dyDescent="0.25">
      <c r="A189" s="15"/>
      <c r="B189" s="15"/>
      <c r="C189" s="15"/>
      <c r="D189" s="15"/>
      <c r="E189" s="15"/>
      <c r="F189" s="15"/>
    </row>
    <row r="190" spans="1:6" x14ac:dyDescent="0.25">
      <c r="A190" s="15"/>
      <c r="B190" s="15"/>
      <c r="C190" s="15"/>
      <c r="D190" s="15"/>
      <c r="E190" s="15"/>
      <c r="F190" s="15"/>
    </row>
    <row r="191" spans="1:6" x14ac:dyDescent="0.25">
      <c r="A191" s="15"/>
      <c r="B191" s="15"/>
      <c r="C191" s="15"/>
      <c r="D191" s="15"/>
      <c r="E191" s="15"/>
      <c r="F191" s="15"/>
    </row>
    <row r="192" spans="1:6" x14ac:dyDescent="0.25">
      <c r="A192" s="15"/>
      <c r="B192" s="15"/>
      <c r="C192" s="15"/>
      <c r="D192" s="15"/>
      <c r="E192" s="15"/>
      <c r="F192" s="15"/>
    </row>
    <row r="193" spans="1:6" x14ac:dyDescent="0.25">
      <c r="A193" s="15"/>
      <c r="B193" s="15"/>
      <c r="C193" s="15"/>
      <c r="D193" s="15"/>
      <c r="E193" s="15"/>
      <c r="F193" s="15"/>
    </row>
    <row r="194" spans="1:6" x14ac:dyDescent="0.25">
      <c r="A194" s="15"/>
      <c r="B194" s="15"/>
      <c r="C194" s="15"/>
      <c r="D194" s="15"/>
      <c r="E194" s="15"/>
      <c r="F194" s="15"/>
    </row>
    <row r="195" spans="1:6" x14ac:dyDescent="0.25">
      <c r="A195" s="15"/>
      <c r="B195" s="15"/>
      <c r="C195" s="15"/>
      <c r="D195" s="15"/>
      <c r="E195" s="15"/>
      <c r="F195" s="15"/>
    </row>
    <row r="196" spans="1:6" x14ac:dyDescent="0.25">
      <c r="A196" s="15"/>
      <c r="B196" s="15"/>
      <c r="C196" s="15"/>
      <c r="D196" s="15"/>
      <c r="E196" s="15"/>
      <c r="F196" s="15"/>
    </row>
    <row r="197" spans="1:6" x14ac:dyDescent="0.25">
      <c r="A197" s="15"/>
      <c r="B197" s="15"/>
      <c r="C197" s="15"/>
      <c r="D197" s="15"/>
      <c r="E197" s="15"/>
      <c r="F197" s="15"/>
    </row>
    <row r="198" spans="1:6" x14ac:dyDescent="0.25">
      <c r="A198" s="15"/>
      <c r="B198" s="15"/>
      <c r="C198" s="15"/>
      <c r="D198" s="15"/>
      <c r="E198" s="15"/>
      <c r="F198" s="15"/>
    </row>
    <row r="199" spans="1:6" x14ac:dyDescent="0.25">
      <c r="A199" s="15"/>
      <c r="B199" s="15"/>
      <c r="C199" s="15"/>
      <c r="D199" s="15"/>
      <c r="E199" s="15"/>
      <c r="F199" s="15"/>
    </row>
    <row r="200" spans="1:6" x14ac:dyDescent="0.25">
      <c r="A200" s="15"/>
      <c r="B200" s="15"/>
      <c r="C200" s="15"/>
      <c r="D200" s="15"/>
      <c r="E200" s="15"/>
      <c r="F200" s="15"/>
    </row>
    <row r="201" spans="1:6" x14ac:dyDescent="0.25">
      <c r="A201" s="15"/>
      <c r="B201" s="15"/>
      <c r="C201" s="15"/>
      <c r="D201" s="15"/>
      <c r="E201" s="15"/>
      <c r="F201" s="15"/>
    </row>
    <row r="202" spans="1:6" x14ac:dyDescent="0.25">
      <c r="A202" s="15"/>
      <c r="B202" s="15"/>
      <c r="C202" s="15"/>
      <c r="D202" s="15"/>
      <c r="E202" s="15"/>
      <c r="F202" s="15"/>
    </row>
    <row r="203" spans="1:6" x14ac:dyDescent="0.25">
      <c r="A203" s="15"/>
      <c r="B203" s="15"/>
      <c r="C203" s="15"/>
      <c r="D203" s="15"/>
      <c r="E203" s="15"/>
      <c r="F203" s="15"/>
    </row>
    <row r="204" spans="1:6" x14ac:dyDescent="0.25">
      <c r="A204" s="15"/>
      <c r="B204" s="15"/>
      <c r="C204" s="15"/>
      <c r="D204" s="15"/>
      <c r="E204" s="15"/>
      <c r="F204" s="15"/>
    </row>
    <row r="205" spans="1:6" x14ac:dyDescent="0.25">
      <c r="A205" s="15"/>
      <c r="B205" s="15"/>
      <c r="C205" s="15"/>
      <c r="D205" s="15"/>
      <c r="E205" s="15"/>
      <c r="F205" s="15"/>
    </row>
    <row r="206" spans="1:6" x14ac:dyDescent="0.25">
      <c r="A206" s="15"/>
      <c r="B206" s="15"/>
      <c r="C206" s="15"/>
      <c r="D206" s="15"/>
      <c r="E206" s="15"/>
      <c r="F206" s="15"/>
    </row>
    <row r="207" spans="1:6" x14ac:dyDescent="0.25">
      <c r="A207" s="15"/>
      <c r="B207" s="15"/>
      <c r="C207" s="15"/>
      <c r="D207" s="15"/>
      <c r="E207" s="15"/>
      <c r="F207" s="15"/>
    </row>
    <row r="208" spans="1:6" x14ac:dyDescent="0.25">
      <c r="A208" s="15"/>
      <c r="B208" s="15"/>
      <c r="C208" s="15"/>
      <c r="D208" s="15"/>
      <c r="E208" s="15"/>
      <c r="F208" s="15"/>
    </row>
    <row r="209" spans="1:6" x14ac:dyDescent="0.25">
      <c r="A209" s="15"/>
      <c r="B209" s="15"/>
      <c r="C209" s="15"/>
      <c r="D209" s="15"/>
      <c r="E209" s="15"/>
      <c r="F209" s="15"/>
    </row>
    <row r="210" spans="1:6" x14ac:dyDescent="0.25">
      <c r="A210" s="15"/>
      <c r="B210" s="15"/>
      <c r="C210" s="15"/>
      <c r="D210" s="15"/>
      <c r="E210" s="15"/>
      <c r="F210" s="15"/>
    </row>
    <row r="211" spans="1:6" x14ac:dyDescent="0.25">
      <c r="A211" s="15"/>
      <c r="B211" s="15"/>
      <c r="C211" s="15"/>
      <c r="D211" s="15"/>
      <c r="E211" s="15"/>
      <c r="F211" s="15"/>
    </row>
    <row r="212" spans="1:6" x14ac:dyDescent="0.25">
      <c r="A212" s="15"/>
      <c r="B212" s="15"/>
      <c r="C212" s="15"/>
      <c r="D212" s="15"/>
      <c r="E212" s="15"/>
      <c r="F212" s="15"/>
    </row>
    <row r="213" spans="1:6" x14ac:dyDescent="0.25">
      <c r="A213" s="15"/>
      <c r="B213" s="15"/>
      <c r="C213" s="15"/>
      <c r="D213" s="15"/>
      <c r="E213" s="15"/>
      <c r="F213" s="15"/>
    </row>
    <row r="214" spans="1:6" x14ac:dyDescent="0.25">
      <c r="A214" s="15"/>
      <c r="B214" s="15"/>
      <c r="C214" s="15"/>
      <c r="D214" s="15"/>
      <c r="E214" s="15"/>
      <c r="F214" s="15"/>
    </row>
    <row r="215" spans="1:6" x14ac:dyDescent="0.25">
      <c r="A215" s="15"/>
      <c r="B215" s="15"/>
      <c r="C215" s="15"/>
      <c r="D215" s="15"/>
      <c r="E215" s="15"/>
      <c r="F215" s="15"/>
    </row>
    <row r="216" spans="1:6" x14ac:dyDescent="0.25">
      <c r="A216" s="15"/>
      <c r="B216" s="15"/>
      <c r="C216" s="15"/>
      <c r="D216" s="15"/>
      <c r="E216" s="15"/>
      <c r="F216" s="15"/>
    </row>
    <row r="217" spans="1:6" x14ac:dyDescent="0.25">
      <c r="A217" s="15"/>
      <c r="B217" s="15"/>
      <c r="C217" s="15"/>
      <c r="D217" s="15"/>
      <c r="E217" s="15"/>
      <c r="F217" s="15"/>
    </row>
    <row r="218" spans="1:6" x14ac:dyDescent="0.25">
      <c r="A218" s="15"/>
      <c r="B218" s="15"/>
      <c r="C218" s="15"/>
      <c r="D218" s="15"/>
      <c r="E218" s="15"/>
      <c r="F218" s="15"/>
    </row>
    <row r="219" spans="1:6" x14ac:dyDescent="0.25">
      <c r="A219" s="15"/>
      <c r="B219" s="15"/>
      <c r="C219" s="15"/>
      <c r="D219" s="15"/>
      <c r="E219" s="15"/>
      <c r="F219" s="15"/>
    </row>
    <row r="220" spans="1:6" x14ac:dyDescent="0.25">
      <c r="A220" s="15"/>
      <c r="B220" s="15"/>
      <c r="C220" s="15"/>
      <c r="D220" s="15"/>
      <c r="E220" s="15"/>
      <c r="F220" s="15"/>
    </row>
    <row r="221" spans="1:6" x14ac:dyDescent="0.25">
      <c r="A221" s="15"/>
      <c r="B221" s="15"/>
      <c r="C221" s="15"/>
      <c r="D221" s="15"/>
      <c r="E221" s="15"/>
      <c r="F221" s="15"/>
    </row>
    <row r="222" spans="1:6" x14ac:dyDescent="0.25">
      <c r="A222" s="15"/>
      <c r="B222" s="15"/>
      <c r="C222" s="15"/>
      <c r="D222" s="15"/>
      <c r="E222" s="15"/>
      <c r="F222" s="15"/>
    </row>
    <row r="223" spans="1:6" x14ac:dyDescent="0.25">
      <c r="A223" s="15"/>
      <c r="B223" s="15"/>
      <c r="C223" s="15"/>
      <c r="D223" s="15"/>
      <c r="E223" s="15"/>
      <c r="F223" s="15"/>
    </row>
    <row r="224" spans="1:6" x14ac:dyDescent="0.25">
      <c r="A224" s="15"/>
      <c r="B224" s="15"/>
      <c r="C224" s="15"/>
      <c r="D224" s="15"/>
      <c r="E224" s="15"/>
      <c r="F224" s="15"/>
    </row>
    <row r="225" spans="1:6" x14ac:dyDescent="0.25">
      <c r="A225" s="15"/>
      <c r="B225" s="15"/>
      <c r="C225" s="15"/>
      <c r="D225" s="15"/>
      <c r="E225" s="15"/>
      <c r="F225" s="15"/>
    </row>
    <row r="226" spans="1:6" x14ac:dyDescent="0.25">
      <c r="A226" s="15"/>
      <c r="B226" s="15"/>
      <c r="C226" s="15"/>
      <c r="D226" s="15"/>
      <c r="E226" s="15"/>
      <c r="F226" s="15"/>
    </row>
    <row r="227" spans="1:6" x14ac:dyDescent="0.25">
      <c r="A227" s="15"/>
      <c r="B227" s="15"/>
      <c r="C227" s="15"/>
      <c r="D227" s="15"/>
      <c r="E227" s="15"/>
      <c r="F227" s="15"/>
    </row>
    <row r="228" spans="1:6" x14ac:dyDescent="0.25">
      <c r="A228" s="15"/>
      <c r="B228" s="15"/>
      <c r="C228" s="15"/>
      <c r="D228" s="15"/>
      <c r="E228" s="15"/>
      <c r="F228" s="15"/>
    </row>
    <row r="229" spans="1:6" x14ac:dyDescent="0.25">
      <c r="A229" s="15"/>
      <c r="B229" s="15"/>
      <c r="C229" s="15"/>
      <c r="D229" s="15"/>
      <c r="E229" s="15"/>
      <c r="F229" s="15"/>
    </row>
    <row r="230" spans="1:6" x14ac:dyDescent="0.25">
      <c r="A230" s="15"/>
      <c r="B230" s="15"/>
      <c r="C230" s="15"/>
      <c r="D230" s="15"/>
      <c r="E230" s="15"/>
      <c r="F230" s="15"/>
    </row>
    <row r="231" spans="1:6" x14ac:dyDescent="0.25">
      <c r="A231" s="15"/>
      <c r="B231" s="15"/>
      <c r="C231" s="15"/>
      <c r="D231" s="15"/>
      <c r="E231" s="15"/>
      <c r="F231" s="15"/>
    </row>
    <row r="232" spans="1:6" x14ac:dyDescent="0.25">
      <c r="A232" s="15"/>
      <c r="B232" s="15"/>
      <c r="C232" s="15"/>
      <c r="D232" s="15"/>
      <c r="E232" s="15"/>
      <c r="F232" s="15"/>
    </row>
    <row r="233" spans="1:6" x14ac:dyDescent="0.25">
      <c r="A233" s="15"/>
      <c r="B233" s="15"/>
      <c r="C233" s="15"/>
      <c r="D233" s="15"/>
      <c r="E233" s="15"/>
      <c r="F233" s="15"/>
    </row>
    <row r="234" spans="1:6" x14ac:dyDescent="0.25">
      <c r="A234" s="15"/>
      <c r="B234" s="15"/>
      <c r="C234" s="15"/>
      <c r="D234" s="15"/>
      <c r="E234" s="15"/>
      <c r="F234" s="15"/>
    </row>
    <row r="235" spans="1:6" x14ac:dyDescent="0.25">
      <c r="A235" s="15"/>
      <c r="B235" s="15"/>
      <c r="C235" s="15"/>
      <c r="D235" s="15"/>
      <c r="E235" s="15"/>
      <c r="F235" s="15"/>
    </row>
    <row r="236" spans="1:6" x14ac:dyDescent="0.25">
      <c r="A236" s="15"/>
      <c r="B236" s="15"/>
      <c r="C236" s="15"/>
      <c r="D236" s="15"/>
      <c r="E236" s="15"/>
      <c r="F236" s="15"/>
    </row>
    <row r="237" spans="1:6" x14ac:dyDescent="0.25">
      <c r="A237" s="15"/>
      <c r="B237" s="15"/>
      <c r="C237" s="15"/>
      <c r="D237" s="15"/>
      <c r="E237" s="15"/>
      <c r="F237" s="15"/>
    </row>
    <row r="238" spans="1:6" x14ac:dyDescent="0.25">
      <c r="A238" s="15"/>
      <c r="B238" s="15"/>
      <c r="C238" s="15"/>
      <c r="D238" s="15"/>
      <c r="E238" s="15"/>
      <c r="F238" s="15"/>
    </row>
    <row r="239" spans="1:6" x14ac:dyDescent="0.25">
      <c r="A239" s="15"/>
      <c r="B239" s="15"/>
      <c r="C239" s="15"/>
      <c r="D239" s="15"/>
      <c r="E239" s="15"/>
      <c r="F239" s="15"/>
    </row>
    <row r="240" spans="1:6" x14ac:dyDescent="0.25">
      <c r="A240" s="15"/>
      <c r="B240" s="15"/>
      <c r="C240" s="15"/>
      <c r="D240" s="15"/>
      <c r="E240" s="15"/>
      <c r="F240" s="15"/>
    </row>
    <row r="241" spans="1:6" x14ac:dyDescent="0.25">
      <c r="A241" s="15"/>
      <c r="B241" s="15"/>
      <c r="C241" s="15"/>
      <c r="D241" s="15"/>
      <c r="E241" s="15"/>
      <c r="F241" s="15"/>
    </row>
    <row r="242" spans="1:6" x14ac:dyDescent="0.25">
      <c r="A242" s="15"/>
      <c r="B242" s="15"/>
      <c r="C242" s="15"/>
      <c r="D242" s="15"/>
      <c r="E242" s="15"/>
      <c r="F242" s="15"/>
    </row>
    <row r="243" spans="1:6" x14ac:dyDescent="0.25">
      <c r="A243" s="15"/>
      <c r="B243" s="15"/>
      <c r="C243" s="15"/>
      <c r="D243" s="15"/>
      <c r="E243" s="15"/>
      <c r="F243" s="15"/>
    </row>
    <row r="244" spans="1:6" x14ac:dyDescent="0.25">
      <c r="A244" s="15"/>
      <c r="B244" s="15"/>
      <c r="C244" s="15"/>
      <c r="D244" s="15"/>
      <c r="E244" s="15"/>
      <c r="F244" s="15"/>
    </row>
    <row r="245" spans="1:6" x14ac:dyDescent="0.25">
      <c r="A245" s="15"/>
      <c r="B245" s="15"/>
      <c r="C245" s="15"/>
      <c r="D245" s="15"/>
      <c r="E245" s="15"/>
      <c r="F245" s="15"/>
    </row>
    <row r="246" spans="1:6" x14ac:dyDescent="0.25">
      <c r="A246" s="15"/>
      <c r="B246" s="15"/>
      <c r="C246" s="15"/>
      <c r="D246" s="15"/>
      <c r="E246" s="15"/>
      <c r="F246" s="15"/>
    </row>
    <row r="247" spans="1:6" x14ac:dyDescent="0.25">
      <c r="A247" s="15"/>
      <c r="B247" s="15"/>
      <c r="C247" s="15"/>
      <c r="D247" s="15"/>
      <c r="E247" s="15"/>
      <c r="F247" s="15"/>
    </row>
    <row r="248" spans="1:6" x14ac:dyDescent="0.25">
      <c r="A248" s="15"/>
      <c r="B248" s="15"/>
      <c r="C248" s="15"/>
      <c r="D248" s="15"/>
      <c r="E248" s="15"/>
      <c r="F248" s="15"/>
    </row>
    <row r="249" spans="1:6" x14ac:dyDescent="0.25">
      <c r="A249" s="15"/>
      <c r="B249" s="15"/>
      <c r="C249" s="15"/>
      <c r="D249" s="15"/>
      <c r="E249" s="15"/>
      <c r="F249" s="15"/>
    </row>
    <row r="250" spans="1:6" x14ac:dyDescent="0.25">
      <c r="A250" s="15"/>
      <c r="B250" s="15"/>
      <c r="C250" s="15"/>
      <c r="D250" s="15"/>
      <c r="E250" s="15"/>
      <c r="F250" s="15"/>
    </row>
    <row r="251" spans="1:6" x14ac:dyDescent="0.25">
      <c r="A251" s="15"/>
      <c r="B251" s="15"/>
      <c r="C251" s="15"/>
      <c r="D251" s="15"/>
      <c r="E251" s="15"/>
      <c r="F251" s="15"/>
    </row>
    <row r="252" spans="1:6" x14ac:dyDescent="0.25">
      <c r="A252" s="15"/>
      <c r="B252" s="15"/>
      <c r="C252" s="15"/>
      <c r="D252" s="15"/>
      <c r="E252" s="15"/>
      <c r="F252" s="15"/>
    </row>
    <row r="253" spans="1:6" x14ac:dyDescent="0.25">
      <c r="A253" s="15"/>
      <c r="B253" s="15"/>
      <c r="C253" s="15"/>
      <c r="D253" s="15"/>
      <c r="E253" s="15"/>
      <c r="F253" s="15"/>
    </row>
    <row r="254" spans="1:6" x14ac:dyDescent="0.25">
      <c r="A254" s="15"/>
      <c r="B254" s="15"/>
      <c r="C254" s="15"/>
      <c r="D254" s="15"/>
      <c r="E254" s="15"/>
      <c r="F254" s="15"/>
    </row>
    <row r="255" spans="1:6" x14ac:dyDescent="0.25">
      <c r="A255" s="15"/>
      <c r="B255" s="15"/>
      <c r="C255" s="15"/>
      <c r="D255" s="15"/>
      <c r="E255" s="15"/>
      <c r="F255" s="15"/>
    </row>
    <row r="256" spans="1:6" x14ac:dyDescent="0.25">
      <c r="A256" s="15"/>
      <c r="B256" s="15"/>
      <c r="C256" s="15"/>
      <c r="D256" s="15"/>
      <c r="E256" s="15"/>
      <c r="F256" s="15"/>
    </row>
    <row r="257" spans="1:6" x14ac:dyDescent="0.25">
      <c r="A257" s="15"/>
      <c r="B257" s="15"/>
      <c r="C257" s="15"/>
      <c r="D257" s="15"/>
      <c r="E257" s="15"/>
      <c r="F257" s="15"/>
    </row>
    <row r="258" spans="1:6" x14ac:dyDescent="0.25">
      <c r="A258" s="15"/>
      <c r="B258" s="15"/>
      <c r="C258" s="15"/>
      <c r="D258" s="15"/>
      <c r="E258" s="15"/>
      <c r="F258" s="15"/>
    </row>
    <row r="259" spans="1:6" x14ac:dyDescent="0.25">
      <c r="A259" s="15"/>
      <c r="B259" s="15"/>
      <c r="C259" s="15"/>
      <c r="D259" s="15"/>
      <c r="E259" s="15"/>
      <c r="F259" s="15"/>
    </row>
    <row r="260" spans="1:6" x14ac:dyDescent="0.25">
      <c r="A260" s="15"/>
      <c r="B260" s="15"/>
      <c r="C260" s="15"/>
      <c r="D260" s="15"/>
      <c r="E260" s="15"/>
      <c r="F260" s="15"/>
    </row>
    <row r="261" spans="1:6" x14ac:dyDescent="0.25">
      <c r="A261" s="15"/>
      <c r="B261" s="15"/>
      <c r="C261" s="15"/>
      <c r="D261" s="15"/>
      <c r="E261" s="15"/>
      <c r="F261" s="15"/>
    </row>
    <row r="262" spans="1:6" x14ac:dyDescent="0.25">
      <c r="A262" s="15"/>
      <c r="B262" s="15"/>
      <c r="C262" s="15"/>
      <c r="D262" s="15"/>
      <c r="E262" s="15"/>
      <c r="F262" s="15"/>
    </row>
    <row r="263" spans="1:6" x14ac:dyDescent="0.25">
      <c r="A263" s="15"/>
      <c r="B263" s="15"/>
      <c r="C263" s="15"/>
      <c r="D263" s="15"/>
      <c r="E263" s="15"/>
      <c r="F263" s="15"/>
    </row>
    <row r="264" spans="1:6" x14ac:dyDescent="0.25">
      <c r="A264" s="15"/>
      <c r="B264" s="15"/>
      <c r="C264" s="15"/>
      <c r="D264" s="15"/>
      <c r="E264" s="15"/>
      <c r="F264" s="15"/>
    </row>
    <row r="265" spans="1:6" x14ac:dyDescent="0.25">
      <c r="A265" s="15"/>
      <c r="B265" s="15"/>
      <c r="C265" s="15"/>
      <c r="D265" s="15"/>
      <c r="E265" s="15"/>
      <c r="F265" s="15"/>
    </row>
    <row r="266" spans="1:6" x14ac:dyDescent="0.25">
      <c r="A266" s="15"/>
      <c r="B266" s="15"/>
      <c r="C266" s="15"/>
      <c r="D266" s="15"/>
      <c r="E266" s="15"/>
      <c r="F266" s="15"/>
    </row>
    <row r="267" spans="1:6" x14ac:dyDescent="0.25">
      <c r="A267" s="15"/>
      <c r="B267" s="15"/>
      <c r="C267" s="15"/>
      <c r="D267" s="15"/>
      <c r="E267" s="15"/>
      <c r="F267" s="15"/>
    </row>
    <row r="268" spans="1:6" x14ac:dyDescent="0.25">
      <c r="A268" s="15"/>
      <c r="B268" s="15"/>
      <c r="C268" s="15"/>
      <c r="D268" s="15"/>
      <c r="E268" s="15"/>
      <c r="F268" s="15"/>
    </row>
    <row r="269" spans="1:6" x14ac:dyDescent="0.25">
      <c r="A269" s="15"/>
      <c r="B269" s="15"/>
      <c r="C269" s="15"/>
      <c r="D269" s="15"/>
      <c r="E269" s="15"/>
      <c r="F269" s="15"/>
    </row>
    <row r="270" spans="1:6" x14ac:dyDescent="0.25">
      <c r="A270" s="15"/>
      <c r="B270" s="15"/>
      <c r="C270" s="15"/>
      <c r="D270" s="15"/>
      <c r="E270" s="15"/>
      <c r="F270" s="15"/>
    </row>
    <row r="271" spans="1:6" x14ac:dyDescent="0.25">
      <c r="A271" s="15"/>
      <c r="B271" s="15"/>
      <c r="C271" s="15"/>
      <c r="D271" s="15"/>
      <c r="E271" s="15"/>
      <c r="F271" s="15"/>
    </row>
    <row r="272" spans="1:6" x14ac:dyDescent="0.25">
      <c r="A272" s="15"/>
      <c r="B272" s="15"/>
      <c r="C272" s="15"/>
      <c r="D272" s="15"/>
      <c r="E272" s="15"/>
      <c r="F272" s="15"/>
    </row>
    <row r="273" spans="1:6" x14ac:dyDescent="0.25">
      <c r="A273" s="15"/>
      <c r="B273" s="15"/>
      <c r="C273" s="15"/>
      <c r="D273" s="15"/>
      <c r="E273" s="15"/>
      <c r="F273" s="15"/>
    </row>
    <row r="274" spans="1:6" x14ac:dyDescent="0.25">
      <c r="A274" s="15"/>
      <c r="B274" s="15"/>
      <c r="C274" s="15"/>
      <c r="D274" s="15"/>
      <c r="E274" s="15"/>
      <c r="F274" s="15"/>
    </row>
    <row r="275" spans="1:6" x14ac:dyDescent="0.25">
      <c r="A275" s="15"/>
      <c r="B275" s="15"/>
      <c r="C275" s="15"/>
      <c r="D275" s="15"/>
      <c r="E275" s="15"/>
      <c r="F275" s="15"/>
    </row>
    <row r="276" spans="1:6" x14ac:dyDescent="0.25">
      <c r="A276" s="15"/>
      <c r="B276" s="15"/>
      <c r="C276" s="15"/>
      <c r="D276" s="15"/>
      <c r="E276" s="15"/>
      <c r="F276" s="15"/>
    </row>
    <row r="277" spans="1:6" x14ac:dyDescent="0.25">
      <c r="A277" s="15"/>
      <c r="B277" s="15"/>
      <c r="C277" s="15"/>
      <c r="D277" s="15"/>
      <c r="E277" s="15"/>
      <c r="F277" s="15"/>
    </row>
    <row r="278" spans="1:6" x14ac:dyDescent="0.25">
      <c r="A278" s="15"/>
      <c r="B278" s="15"/>
      <c r="C278" s="15"/>
      <c r="D278" s="15"/>
      <c r="E278" s="15"/>
      <c r="F278" s="15"/>
    </row>
    <row r="279" spans="1:6" x14ac:dyDescent="0.25">
      <c r="A279" s="15"/>
      <c r="B279" s="15"/>
      <c r="C279" s="15"/>
      <c r="D279" s="15"/>
      <c r="E279" s="15"/>
      <c r="F279" s="15"/>
    </row>
    <row r="280" spans="1:6" x14ac:dyDescent="0.25">
      <c r="A280" s="15"/>
      <c r="B280" s="15"/>
      <c r="C280" s="15"/>
      <c r="D280" s="15"/>
      <c r="E280" s="15"/>
      <c r="F280" s="15"/>
    </row>
    <row r="281" spans="1:6" x14ac:dyDescent="0.25">
      <c r="A281" s="15"/>
      <c r="B281" s="15"/>
      <c r="C281" s="15"/>
      <c r="D281" s="15"/>
      <c r="E281" s="15"/>
      <c r="F281" s="15"/>
    </row>
    <row r="282" spans="1:6" x14ac:dyDescent="0.25">
      <c r="A282" s="15"/>
      <c r="B282" s="15"/>
      <c r="C282" s="15"/>
      <c r="D282" s="15"/>
      <c r="E282" s="15"/>
      <c r="F282" s="15"/>
    </row>
    <row r="283" spans="1:6" x14ac:dyDescent="0.25">
      <c r="A283" s="15"/>
      <c r="B283" s="15"/>
      <c r="C283" s="15"/>
      <c r="D283" s="15"/>
      <c r="E283" s="15"/>
      <c r="F283" s="15"/>
    </row>
    <row r="284" spans="1:6" x14ac:dyDescent="0.25">
      <c r="A284" s="15"/>
      <c r="B284" s="15"/>
      <c r="C284" s="15"/>
      <c r="D284" s="15"/>
      <c r="E284" s="15"/>
      <c r="F284" s="15"/>
    </row>
    <row r="285" spans="1:6" x14ac:dyDescent="0.25">
      <c r="A285" s="15"/>
      <c r="B285" s="15"/>
      <c r="C285" s="15"/>
      <c r="D285" s="15"/>
      <c r="E285" s="15"/>
      <c r="F285" s="15"/>
    </row>
    <row r="286" spans="1:6" x14ac:dyDescent="0.25">
      <c r="A286" s="15"/>
      <c r="B286" s="15"/>
      <c r="C286" s="15"/>
      <c r="D286" s="15"/>
      <c r="E286" s="15"/>
      <c r="F286" s="15"/>
    </row>
    <row r="287" spans="1:6" x14ac:dyDescent="0.25">
      <c r="A287" s="15"/>
      <c r="B287" s="15"/>
      <c r="C287" s="15"/>
      <c r="D287" s="15"/>
      <c r="E287" s="15"/>
      <c r="F287" s="15"/>
    </row>
    <row r="288" spans="1:6" x14ac:dyDescent="0.25">
      <c r="A288" s="15"/>
      <c r="B288" s="15"/>
      <c r="C288" s="15"/>
      <c r="D288" s="15"/>
      <c r="E288" s="15"/>
      <c r="F288" s="15"/>
    </row>
    <row r="289" spans="1:6" x14ac:dyDescent="0.25">
      <c r="A289" s="15"/>
      <c r="B289" s="15"/>
      <c r="C289" s="15"/>
      <c r="D289" s="15"/>
      <c r="E289" s="15"/>
      <c r="F289" s="15"/>
    </row>
    <row r="290" spans="1:6" x14ac:dyDescent="0.25">
      <c r="A290" s="15"/>
      <c r="B290" s="15"/>
      <c r="C290" s="15"/>
      <c r="D290" s="15"/>
      <c r="E290" s="15"/>
      <c r="F290" s="15"/>
    </row>
    <row r="291" spans="1:6" x14ac:dyDescent="0.25">
      <c r="A291" s="15"/>
      <c r="B291" s="15"/>
      <c r="C291" s="15"/>
      <c r="D291" s="15"/>
      <c r="E291" s="15"/>
      <c r="F291" s="15"/>
    </row>
    <row r="292" spans="1:6" x14ac:dyDescent="0.25">
      <c r="A292" s="15"/>
      <c r="B292" s="15"/>
      <c r="C292" s="15"/>
      <c r="D292" s="15"/>
      <c r="E292" s="15"/>
      <c r="F292" s="15"/>
    </row>
    <row r="293" spans="1:6" x14ac:dyDescent="0.25">
      <c r="A293" s="15"/>
      <c r="B293" s="15"/>
      <c r="C293" s="15"/>
      <c r="D293" s="15"/>
      <c r="E293" s="15"/>
      <c r="F293" s="15"/>
    </row>
    <row r="294" spans="1:6" x14ac:dyDescent="0.25">
      <c r="A294" s="15"/>
      <c r="B294" s="15"/>
      <c r="C294" s="15"/>
      <c r="D294" s="15"/>
      <c r="E294" s="15"/>
      <c r="F294" s="15"/>
    </row>
    <row r="295" spans="1:6" x14ac:dyDescent="0.25">
      <c r="A295" s="15"/>
      <c r="B295" s="15"/>
      <c r="C295" s="15"/>
      <c r="D295" s="15"/>
      <c r="E295" s="15"/>
      <c r="F295" s="15"/>
    </row>
    <row r="296" spans="1:6" x14ac:dyDescent="0.25">
      <c r="A296" s="15"/>
      <c r="B296" s="15"/>
      <c r="C296" s="15"/>
      <c r="D296" s="15"/>
      <c r="E296" s="15"/>
      <c r="F296" s="15"/>
    </row>
    <row r="297" spans="1:6" x14ac:dyDescent="0.25">
      <c r="A297" s="15"/>
      <c r="B297" s="15"/>
      <c r="C297" s="15"/>
      <c r="D297" s="15"/>
      <c r="E297" s="15"/>
      <c r="F297" s="15"/>
    </row>
    <row r="298" spans="1:6" x14ac:dyDescent="0.25">
      <c r="A298" s="15"/>
      <c r="B298" s="15"/>
      <c r="C298" s="15"/>
      <c r="D298" s="15"/>
      <c r="E298" s="15"/>
      <c r="F298" s="15"/>
    </row>
    <row r="299" spans="1:6" x14ac:dyDescent="0.25">
      <c r="A299" s="15"/>
      <c r="B299" s="15"/>
      <c r="C299" s="15"/>
      <c r="D299" s="15"/>
      <c r="E299" s="15"/>
      <c r="F299" s="15"/>
    </row>
    <row r="300" spans="1:6" x14ac:dyDescent="0.25">
      <c r="A300" s="15"/>
      <c r="B300" s="15"/>
      <c r="C300" s="15"/>
      <c r="D300" s="15"/>
      <c r="E300" s="15"/>
      <c r="F300" s="15"/>
    </row>
    <row r="301" spans="1:6" x14ac:dyDescent="0.25">
      <c r="A301" s="15"/>
      <c r="B301" s="15"/>
      <c r="C301" s="15"/>
      <c r="D301" s="15"/>
      <c r="E301" s="15"/>
      <c r="F301" s="15"/>
    </row>
    <row r="302" spans="1:6" x14ac:dyDescent="0.25">
      <c r="A302" s="15"/>
      <c r="B302" s="15"/>
      <c r="C302" s="15"/>
      <c r="D302" s="15"/>
      <c r="E302" s="15"/>
      <c r="F302" s="15"/>
    </row>
    <row r="303" spans="1:6" x14ac:dyDescent="0.25">
      <c r="A303" s="15"/>
      <c r="B303" s="15"/>
      <c r="C303" s="15"/>
      <c r="D303" s="15"/>
      <c r="E303" s="15"/>
      <c r="F303" s="15"/>
    </row>
    <row r="304" spans="1:6" x14ac:dyDescent="0.25">
      <c r="A304" s="15"/>
      <c r="B304" s="15"/>
      <c r="C304" s="15"/>
      <c r="D304" s="15"/>
      <c r="E304" s="15"/>
      <c r="F304" s="15"/>
    </row>
    <row r="305" spans="1:6" x14ac:dyDescent="0.25">
      <c r="A305" s="15"/>
      <c r="B305" s="15"/>
      <c r="C305" s="15"/>
      <c r="D305" s="15"/>
      <c r="E305" s="15"/>
      <c r="F305" s="15"/>
    </row>
    <row r="306" spans="1:6" x14ac:dyDescent="0.25">
      <c r="A306" s="15"/>
      <c r="B306" s="15"/>
      <c r="C306" s="15"/>
      <c r="D306" s="15"/>
      <c r="E306" s="15"/>
      <c r="F306" s="15"/>
    </row>
    <row r="307" spans="1:6" x14ac:dyDescent="0.25">
      <c r="A307" s="15"/>
      <c r="B307" s="15"/>
      <c r="C307" s="15"/>
      <c r="D307" s="15"/>
      <c r="E307" s="15"/>
      <c r="F307" s="15"/>
    </row>
    <row r="308" spans="1:6" x14ac:dyDescent="0.25">
      <c r="A308" s="15"/>
      <c r="B308" s="15"/>
      <c r="C308" s="15"/>
      <c r="D308" s="15"/>
      <c r="E308" s="15"/>
      <c r="F308" s="15"/>
    </row>
    <row r="309" spans="1:6" x14ac:dyDescent="0.25">
      <c r="A309" s="15"/>
      <c r="B309" s="15"/>
      <c r="C309" s="15"/>
      <c r="D309" s="15"/>
      <c r="E309" s="15"/>
      <c r="F309" s="15"/>
    </row>
    <row r="310" spans="1:6" x14ac:dyDescent="0.25">
      <c r="A310" s="15"/>
      <c r="B310" s="15"/>
      <c r="C310" s="15"/>
      <c r="D310" s="15"/>
      <c r="E310" s="15"/>
      <c r="F310" s="15"/>
    </row>
    <row r="311" spans="1:6" x14ac:dyDescent="0.25">
      <c r="A311" s="15"/>
      <c r="B311" s="15"/>
      <c r="C311" s="15"/>
      <c r="D311" s="15"/>
      <c r="E311" s="15"/>
      <c r="F311" s="15"/>
    </row>
    <row r="312" spans="1:6" x14ac:dyDescent="0.25">
      <c r="A312" s="15"/>
      <c r="B312" s="15"/>
      <c r="C312" s="15"/>
      <c r="D312" s="15"/>
      <c r="E312" s="15"/>
      <c r="F312" s="15"/>
    </row>
    <row r="313" spans="1:6" x14ac:dyDescent="0.25">
      <c r="A313" s="15"/>
      <c r="B313" s="15"/>
      <c r="C313" s="15"/>
      <c r="D313" s="15"/>
      <c r="E313" s="15"/>
      <c r="F313" s="15"/>
    </row>
    <row r="314" spans="1:6" x14ac:dyDescent="0.25">
      <c r="A314" s="15"/>
      <c r="B314" s="15"/>
      <c r="C314" s="15"/>
      <c r="D314" s="15"/>
      <c r="E314" s="15"/>
      <c r="F314" s="15"/>
    </row>
    <row r="315" spans="1:6" x14ac:dyDescent="0.25">
      <c r="A315" s="15"/>
      <c r="B315" s="15"/>
      <c r="C315" s="15"/>
      <c r="D315" s="15"/>
      <c r="E315" s="15"/>
      <c r="F315" s="15"/>
    </row>
    <row r="316" spans="1:6" x14ac:dyDescent="0.25">
      <c r="A316" s="15"/>
      <c r="B316" s="15"/>
      <c r="C316" s="15"/>
      <c r="D316" s="15"/>
      <c r="E316" s="15"/>
      <c r="F316" s="15"/>
    </row>
    <row r="317" spans="1:6" x14ac:dyDescent="0.25">
      <c r="A317" s="15"/>
      <c r="B317" s="15"/>
      <c r="C317" s="15"/>
      <c r="D317" s="15"/>
      <c r="E317" s="15"/>
      <c r="F317" s="15"/>
    </row>
    <row r="318" spans="1:6" x14ac:dyDescent="0.25">
      <c r="A318" s="15"/>
      <c r="B318" s="15"/>
      <c r="C318" s="15"/>
      <c r="D318" s="15"/>
      <c r="E318" s="15"/>
      <c r="F318" s="15"/>
    </row>
    <row r="319" spans="1:6" x14ac:dyDescent="0.25">
      <c r="A319" s="15"/>
      <c r="B319" s="15"/>
      <c r="C319" s="15"/>
      <c r="D319" s="15"/>
      <c r="E319" s="15"/>
      <c r="F319" s="15"/>
    </row>
    <row r="320" spans="1:6" x14ac:dyDescent="0.25">
      <c r="A320" s="15"/>
      <c r="B320" s="15"/>
      <c r="C320" s="15"/>
      <c r="D320" s="15"/>
      <c r="E320" s="15"/>
      <c r="F320" s="15"/>
    </row>
    <row r="321" spans="1:6" x14ac:dyDescent="0.25">
      <c r="A321" s="15"/>
      <c r="B321" s="15"/>
      <c r="C321" s="15"/>
      <c r="D321" s="15"/>
      <c r="E321" s="15"/>
      <c r="F321" s="15"/>
    </row>
    <row r="322" spans="1:6" x14ac:dyDescent="0.25">
      <c r="A322" s="15"/>
      <c r="B322" s="15"/>
      <c r="C322" s="15"/>
      <c r="D322" s="15"/>
      <c r="E322" s="15"/>
      <c r="F322" s="15"/>
    </row>
    <row r="323" spans="1:6" x14ac:dyDescent="0.25">
      <c r="A323" s="15"/>
      <c r="B323" s="15"/>
      <c r="C323" s="15"/>
      <c r="D323" s="15"/>
      <c r="E323" s="15"/>
      <c r="F323" s="15"/>
    </row>
    <row r="324" spans="1:6" x14ac:dyDescent="0.25">
      <c r="A324" s="15"/>
      <c r="B324" s="15"/>
      <c r="C324" s="15"/>
      <c r="D324" s="15"/>
      <c r="E324" s="15"/>
      <c r="F324" s="15"/>
    </row>
    <row r="325" spans="1:6" x14ac:dyDescent="0.25">
      <c r="A325" s="15"/>
      <c r="B325" s="15"/>
      <c r="C325" s="15"/>
      <c r="D325" s="15"/>
      <c r="E325" s="15"/>
      <c r="F325" s="15"/>
    </row>
    <row r="326" spans="1:6" x14ac:dyDescent="0.25">
      <c r="A326" s="15"/>
      <c r="B326" s="15"/>
      <c r="C326" s="15"/>
      <c r="D326" s="15"/>
      <c r="E326" s="15"/>
      <c r="F326" s="15"/>
    </row>
    <row r="327" spans="1:6" x14ac:dyDescent="0.25">
      <c r="A327" s="15"/>
      <c r="B327" s="15"/>
      <c r="C327" s="15"/>
      <c r="D327" s="15"/>
      <c r="E327" s="15"/>
      <c r="F327" s="15"/>
    </row>
    <row r="328" spans="1:6" x14ac:dyDescent="0.25">
      <c r="A328" s="15"/>
      <c r="B328" s="15"/>
      <c r="C328" s="15"/>
      <c r="D328" s="15"/>
      <c r="E328" s="15"/>
      <c r="F328" s="15"/>
    </row>
    <row r="329" spans="1:6" x14ac:dyDescent="0.25">
      <c r="A329" s="15"/>
      <c r="B329" s="15"/>
      <c r="C329" s="15"/>
      <c r="D329" s="15"/>
      <c r="E329" s="15"/>
      <c r="F329" s="15"/>
    </row>
    <row r="330" spans="1:6" x14ac:dyDescent="0.25">
      <c r="A330" s="15"/>
      <c r="B330" s="15"/>
      <c r="C330" s="15"/>
      <c r="D330" s="15"/>
      <c r="E330" s="15"/>
      <c r="F330" s="15"/>
    </row>
    <row r="331" spans="1:6" x14ac:dyDescent="0.25">
      <c r="A331" s="15"/>
      <c r="B331" s="15"/>
      <c r="C331" s="15"/>
      <c r="D331" s="15"/>
      <c r="E331" s="15"/>
      <c r="F331" s="15"/>
    </row>
    <row r="332" spans="1:6" x14ac:dyDescent="0.25">
      <c r="A332" s="15"/>
      <c r="B332" s="15"/>
      <c r="C332" s="15"/>
      <c r="D332" s="15"/>
      <c r="E332" s="15"/>
      <c r="F332" s="15"/>
    </row>
    <row r="333" spans="1:6" x14ac:dyDescent="0.25">
      <c r="A333" s="15"/>
      <c r="B333" s="15"/>
      <c r="C333" s="15"/>
      <c r="D333" s="15"/>
      <c r="E333" s="15"/>
      <c r="F333" s="15"/>
    </row>
    <row r="334" spans="1:6" x14ac:dyDescent="0.25">
      <c r="A334" s="15"/>
      <c r="B334" s="15"/>
      <c r="C334" s="15"/>
      <c r="D334" s="15"/>
      <c r="E334" s="15"/>
      <c r="F334" s="15"/>
    </row>
    <row r="335" spans="1:6" x14ac:dyDescent="0.25">
      <c r="A335" s="15"/>
      <c r="B335" s="15"/>
      <c r="C335" s="15"/>
      <c r="D335" s="15"/>
      <c r="E335" s="15"/>
      <c r="F335" s="15"/>
    </row>
    <row r="336" spans="1:6" x14ac:dyDescent="0.25">
      <c r="A336" s="15"/>
      <c r="B336" s="15"/>
      <c r="C336" s="15"/>
      <c r="D336" s="15"/>
      <c r="E336" s="15"/>
      <c r="F336" s="15"/>
    </row>
    <row r="337" spans="1:6" x14ac:dyDescent="0.25">
      <c r="A337" s="15"/>
      <c r="B337" s="15"/>
      <c r="C337" s="15"/>
      <c r="D337" s="15"/>
      <c r="E337" s="15"/>
      <c r="F337" s="15"/>
    </row>
    <row r="338" spans="1:6" x14ac:dyDescent="0.25">
      <c r="A338" s="15"/>
      <c r="B338" s="15"/>
      <c r="C338" s="15"/>
      <c r="D338" s="15"/>
      <c r="E338" s="15"/>
      <c r="F338" s="15"/>
    </row>
    <row r="339" spans="1:6" x14ac:dyDescent="0.25">
      <c r="A339" s="15"/>
      <c r="B339" s="15"/>
      <c r="C339" s="15"/>
      <c r="D339" s="15"/>
      <c r="E339" s="15"/>
      <c r="F339" s="15"/>
    </row>
    <row r="340" spans="1:6" x14ac:dyDescent="0.25">
      <c r="A340" s="15"/>
      <c r="B340" s="15"/>
      <c r="C340" s="15"/>
      <c r="D340" s="15"/>
      <c r="E340" s="15"/>
      <c r="F340" s="15"/>
    </row>
    <row r="341" spans="1:6" x14ac:dyDescent="0.25">
      <c r="A341" s="15"/>
      <c r="B341" s="15"/>
      <c r="C341" s="15"/>
      <c r="D341" s="15"/>
      <c r="E341" s="15"/>
      <c r="F341" s="15"/>
    </row>
    <row r="342" spans="1:6" x14ac:dyDescent="0.25">
      <c r="A342" s="15"/>
      <c r="B342" s="15"/>
      <c r="C342" s="15"/>
      <c r="D342" s="15"/>
      <c r="E342" s="15"/>
      <c r="F342" s="15"/>
    </row>
    <row r="343" spans="1:6" x14ac:dyDescent="0.25">
      <c r="A343" s="15"/>
      <c r="B343" s="15"/>
      <c r="C343" s="15"/>
      <c r="D343" s="15"/>
      <c r="E343" s="15"/>
      <c r="F343" s="15"/>
    </row>
    <row r="344" spans="1:6" x14ac:dyDescent="0.25">
      <c r="A344" s="15"/>
      <c r="B344" s="15"/>
      <c r="C344" s="15"/>
      <c r="D344" s="15"/>
      <c r="E344" s="15"/>
      <c r="F344" s="15"/>
    </row>
    <row r="345" spans="1:6" x14ac:dyDescent="0.25">
      <c r="A345" s="15"/>
      <c r="B345" s="15"/>
      <c r="C345" s="15"/>
      <c r="D345" s="15"/>
      <c r="E345" s="15"/>
      <c r="F345" s="15"/>
    </row>
    <row r="346" spans="1:6" x14ac:dyDescent="0.25">
      <c r="A346" s="15"/>
      <c r="B346" s="15"/>
      <c r="C346" s="15"/>
      <c r="D346" s="15"/>
      <c r="E346" s="15"/>
      <c r="F346" s="15"/>
    </row>
    <row r="347" spans="1:6" x14ac:dyDescent="0.25">
      <c r="A347" s="15"/>
      <c r="B347" s="15"/>
      <c r="C347" s="15"/>
      <c r="D347" s="15"/>
      <c r="E347" s="15"/>
      <c r="F347" s="15"/>
    </row>
    <row r="348" spans="1:6" x14ac:dyDescent="0.25">
      <c r="A348" s="15"/>
      <c r="B348" s="15"/>
      <c r="C348" s="15"/>
      <c r="D348" s="15"/>
      <c r="E348" s="15"/>
      <c r="F348" s="15"/>
    </row>
    <row r="349" spans="1:6" x14ac:dyDescent="0.25">
      <c r="A349" s="15"/>
      <c r="B349" s="15"/>
      <c r="C349" s="15"/>
      <c r="D349" s="15"/>
      <c r="E349" s="15"/>
      <c r="F349" s="15"/>
    </row>
    <row r="350" spans="1:6" x14ac:dyDescent="0.25">
      <c r="A350" s="15"/>
      <c r="B350" s="15"/>
      <c r="C350" s="15"/>
      <c r="D350" s="15"/>
      <c r="E350" s="15"/>
      <c r="F350" s="15"/>
    </row>
    <row r="351" spans="1:6" x14ac:dyDescent="0.25">
      <c r="A351" s="15"/>
      <c r="B351" s="15"/>
      <c r="C351" s="15"/>
      <c r="D351" s="15"/>
      <c r="E351" s="15"/>
      <c r="F351" s="15"/>
    </row>
    <row r="352" spans="1:6" x14ac:dyDescent="0.25">
      <c r="A352" s="15"/>
      <c r="B352" s="15"/>
      <c r="C352" s="15"/>
      <c r="D352" s="15"/>
      <c r="E352" s="15"/>
      <c r="F352" s="15"/>
    </row>
    <row r="353" spans="1:6" x14ac:dyDescent="0.25">
      <c r="A353" s="15"/>
      <c r="B353" s="15"/>
      <c r="C353" s="15"/>
      <c r="D353" s="15"/>
      <c r="E353" s="15"/>
      <c r="F353" s="15"/>
    </row>
    <row r="354" spans="1:6" x14ac:dyDescent="0.25">
      <c r="A354" s="15"/>
      <c r="B354" s="15"/>
      <c r="C354" s="15"/>
      <c r="D354" s="15"/>
      <c r="E354" s="15"/>
      <c r="F354" s="15"/>
    </row>
    <row r="355" spans="1:6" x14ac:dyDescent="0.25">
      <c r="A355" s="15"/>
      <c r="B355" s="15"/>
      <c r="C355" s="15"/>
      <c r="D355" s="15"/>
      <c r="E355" s="15"/>
      <c r="F355" s="15"/>
    </row>
    <row r="356" spans="1:6" x14ac:dyDescent="0.25">
      <c r="A356" s="15"/>
      <c r="B356" s="15"/>
      <c r="C356" s="15"/>
      <c r="D356" s="15"/>
      <c r="E356" s="15"/>
      <c r="F356" s="15"/>
    </row>
    <row r="357" spans="1:6" x14ac:dyDescent="0.25">
      <c r="A357" s="15"/>
      <c r="B357" s="15"/>
      <c r="C357" s="15"/>
      <c r="D357" s="15"/>
      <c r="E357" s="15"/>
      <c r="F357" s="15"/>
    </row>
    <row r="358" spans="1:6" x14ac:dyDescent="0.25">
      <c r="A358" s="15"/>
      <c r="B358" s="15"/>
      <c r="C358" s="15"/>
      <c r="D358" s="15"/>
      <c r="E358" s="15"/>
      <c r="F358" s="15"/>
    </row>
    <row r="359" spans="1:6" x14ac:dyDescent="0.25">
      <c r="A359" s="15"/>
      <c r="B359" s="15"/>
      <c r="C359" s="15"/>
      <c r="D359" s="15"/>
      <c r="E359" s="15"/>
      <c r="F359" s="15"/>
    </row>
    <row r="360" spans="1:6" x14ac:dyDescent="0.25">
      <c r="A360" s="15"/>
      <c r="B360" s="15"/>
      <c r="C360" s="15"/>
      <c r="D360" s="15"/>
      <c r="E360" s="15"/>
      <c r="F360" s="15"/>
    </row>
    <row r="361" spans="1:6" x14ac:dyDescent="0.25">
      <c r="A361" s="15"/>
      <c r="B361" s="15"/>
      <c r="C361" s="15"/>
      <c r="D361" s="15"/>
      <c r="E361" s="15"/>
      <c r="F361" s="15"/>
    </row>
    <row r="362" spans="1:6" x14ac:dyDescent="0.25">
      <c r="A362" s="15"/>
      <c r="B362" s="15"/>
      <c r="C362" s="15"/>
      <c r="D362" s="15"/>
      <c r="E362" s="15"/>
      <c r="F362" s="15"/>
    </row>
    <row r="363" spans="1:6" x14ac:dyDescent="0.25">
      <c r="A363" s="15"/>
      <c r="B363" s="15"/>
      <c r="C363" s="15"/>
      <c r="D363" s="15"/>
      <c r="E363" s="15"/>
      <c r="F363" s="15"/>
    </row>
    <row r="364" spans="1:6" x14ac:dyDescent="0.25">
      <c r="A364" s="15"/>
      <c r="B364" s="15"/>
      <c r="C364" s="15"/>
      <c r="D364" s="15"/>
      <c r="E364" s="15"/>
      <c r="F364" s="15"/>
    </row>
    <row r="365" spans="1:6" x14ac:dyDescent="0.25">
      <c r="A365" s="15"/>
      <c r="B365" s="15"/>
      <c r="C365" s="15"/>
      <c r="D365" s="15"/>
      <c r="E365" s="15"/>
      <c r="F365" s="15"/>
    </row>
    <row r="366" spans="1:6" x14ac:dyDescent="0.25">
      <c r="A366" s="15"/>
      <c r="B366" s="15"/>
      <c r="C366" s="15"/>
      <c r="D366" s="15"/>
      <c r="E366" s="15"/>
      <c r="F366" s="15"/>
    </row>
    <row r="367" spans="1:6" x14ac:dyDescent="0.25">
      <c r="A367" s="15"/>
      <c r="B367" s="15"/>
      <c r="C367" s="15"/>
      <c r="D367" s="15"/>
      <c r="E367" s="15"/>
      <c r="F367" s="15"/>
    </row>
    <row r="368" spans="1:6" x14ac:dyDescent="0.25">
      <c r="A368" s="15"/>
      <c r="B368" s="15"/>
      <c r="C368" s="15"/>
      <c r="D368" s="15"/>
      <c r="E368" s="15"/>
      <c r="F368" s="15"/>
    </row>
    <row r="369" spans="1:6" x14ac:dyDescent="0.25">
      <c r="A369" s="15"/>
      <c r="B369" s="15"/>
      <c r="C369" s="15"/>
      <c r="D369" s="15"/>
      <c r="E369" s="15"/>
      <c r="F369" s="15"/>
    </row>
    <row r="370" spans="1:6" x14ac:dyDescent="0.25">
      <c r="A370" s="15"/>
      <c r="B370" s="15"/>
      <c r="C370" s="15"/>
      <c r="D370" s="15"/>
      <c r="E370" s="15"/>
      <c r="F370" s="15"/>
    </row>
    <row r="371" spans="1:6" x14ac:dyDescent="0.25">
      <c r="A371" s="15"/>
      <c r="B371" s="15"/>
      <c r="C371" s="15"/>
      <c r="D371" s="15"/>
      <c r="E371" s="15"/>
      <c r="F371" s="15"/>
    </row>
    <row r="372" spans="1:6" x14ac:dyDescent="0.25">
      <c r="A372" s="15"/>
      <c r="B372" s="15"/>
      <c r="C372" s="15"/>
      <c r="D372" s="15"/>
      <c r="E372" s="15"/>
      <c r="F372" s="15"/>
    </row>
    <row r="373" spans="1:6" x14ac:dyDescent="0.25">
      <c r="A373" s="15"/>
      <c r="B373" s="15"/>
      <c r="C373" s="15"/>
      <c r="D373" s="15"/>
      <c r="E373" s="15"/>
      <c r="F373" s="15"/>
    </row>
    <row r="374" spans="1:6" x14ac:dyDescent="0.25">
      <c r="A374" s="15"/>
      <c r="B374" s="15"/>
      <c r="C374" s="15"/>
      <c r="D374" s="15"/>
      <c r="E374" s="15"/>
      <c r="F374" s="15"/>
    </row>
    <row r="375" spans="1:6" x14ac:dyDescent="0.25">
      <c r="A375" s="15"/>
      <c r="B375" s="15"/>
      <c r="C375" s="15"/>
      <c r="D375" s="15"/>
      <c r="E375" s="15"/>
      <c r="F375" s="15"/>
    </row>
    <row r="376" spans="1:6" x14ac:dyDescent="0.25">
      <c r="A376" s="15"/>
      <c r="B376" s="15"/>
      <c r="C376" s="15"/>
      <c r="D376" s="15"/>
      <c r="E376" s="15"/>
      <c r="F376" s="15"/>
    </row>
    <row r="377" spans="1:6" x14ac:dyDescent="0.25">
      <c r="A377" s="15"/>
      <c r="B377" s="15"/>
      <c r="C377" s="15"/>
      <c r="D377" s="15"/>
      <c r="E377" s="15"/>
      <c r="F377" s="15"/>
    </row>
    <row r="378" spans="1:6" x14ac:dyDescent="0.25">
      <c r="A378" s="15"/>
      <c r="B378" s="15"/>
      <c r="C378" s="15"/>
      <c r="D378" s="15"/>
      <c r="E378" s="15"/>
      <c r="F378" s="15"/>
    </row>
    <row r="379" spans="1:6" x14ac:dyDescent="0.25">
      <c r="A379" s="15"/>
      <c r="B379" s="15"/>
      <c r="C379" s="15"/>
      <c r="D379" s="15"/>
      <c r="E379" s="15"/>
      <c r="F379" s="15"/>
    </row>
    <row r="380" spans="1:6" x14ac:dyDescent="0.25">
      <c r="A380" s="15"/>
      <c r="B380" s="15"/>
      <c r="C380" s="15"/>
      <c r="D380" s="15"/>
      <c r="E380" s="15"/>
      <c r="F380" s="15"/>
    </row>
    <row r="381" spans="1:6" x14ac:dyDescent="0.25">
      <c r="A381" s="15"/>
      <c r="B381" s="15"/>
      <c r="C381" s="15"/>
      <c r="D381" s="15"/>
      <c r="E381" s="15"/>
      <c r="F381" s="15"/>
    </row>
    <row r="382" spans="1:6" x14ac:dyDescent="0.25">
      <c r="A382" s="15"/>
      <c r="B382" s="15"/>
      <c r="C382" s="15"/>
      <c r="D382" s="15"/>
      <c r="E382" s="15"/>
      <c r="F382" s="15"/>
    </row>
    <row r="383" spans="1:6" x14ac:dyDescent="0.25">
      <c r="A383" s="15"/>
      <c r="B383" s="15"/>
      <c r="C383" s="15"/>
      <c r="D383" s="15"/>
      <c r="E383" s="15"/>
      <c r="F383" s="15"/>
    </row>
    <row r="384" spans="1:6" x14ac:dyDescent="0.25">
      <c r="A384" s="15"/>
      <c r="B384" s="15"/>
      <c r="C384" s="15"/>
      <c r="D384" s="15"/>
      <c r="E384" s="15"/>
      <c r="F384" s="15"/>
    </row>
    <row r="385" spans="1:6" x14ac:dyDescent="0.25">
      <c r="A385" s="15"/>
      <c r="B385" s="15"/>
      <c r="C385" s="15"/>
      <c r="D385" s="15"/>
      <c r="E385" s="15"/>
      <c r="F385" s="15"/>
    </row>
    <row r="386" spans="1:6" x14ac:dyDescent="0.25">
      <c r="A386" s="15"/>
      <c r="B386" s="15"/>
      <c r="C386" s="15"/>
      <c r="D386" s="15"/>
      <c r="E386" s="15"/>
      <c r="F386" s="15"/>
    </row>
    <row r="387" spans="1:6" x14ac:dyDescent="0.25">
      <c r="A387" s="15"/>
      <c r="B387" s="15"/>
      <c r="C387" s="15"/>
      <c r="D387" s="15"/>
      <c r="E387" s="15"/>
      <c r="F387" s="15"/>
    </row>
    <row r="388" spans="1:6" x14ac:dyDescent="0.25">
      <c r="A388" s="15"/>
      <c r="B388" s="15"/>
      <c r="C388" s="15"/>
      <c r="D388" s="15"/>
      <c r="E388" s="15"/>
      <c r="F388" s="15"/>
    </row>
    <row r="389" spans="1:6" x14ac:dyDescent="0.25">
      <c r="A389" s="15"/>
      <c r="B389" s="15"/>
      <c r="C389" s="15"/>
      <c r="D389" s="15"/>
      <c r="E389" s="15"/>
      <c r="F389" s="15"/>
    </row>
    <row r="390" spans="1:6" x14ac:dyDescent="0.25">
      <c r="A390" s="15"/>
      <c r="B390" s="15"/>
      <c r="C390" s="15"/>
      <c r="D390" s="15"/>
      <c r="E390" s="15"/>
      <c r="F390" s="15"/>
    </row>
    <row r="391" spans="1:6" x14ac:dyDescent="0.25">
      <c r="A391" s="15"/>
      <c r="B391" s="15"/>
      <c r="C391" s="15"/>
      <c r="D391" s="15"/>
      <c r="E391" s="15"/>
      <c r="F391" s="15"/>
    </row>
    <row r="392" spans="1:6" x14ac:dyDescent="0.25">
      <c r="A392" s="15"/>
      <c r="B392" s="15"/>
      <c r="C392" s="15"/>
      <c r="D392" s="15"/>
      <c r="E392" s="15"/>
      <c r="F392" s="15"/>
    </row>
    <row r="393" spans="1:6" x14ac:dyDescent="0.25">
      <c r="A393" s="15"/>
      <c r="B393" s="15"/>
      <c r="C393" s="15"/>
      <c r="D393" s="15"/>
      <c r="E393" s="15"/>
      <c r="F393" s="15"/>
    </row>
    <row r="394" spans="1:6" x14ac:dyDescent="0.25">
      <c r="A394" s="15"/>
      <c r="B394" s="15"/>
      <c r="C394" s="15"/>
      <c r="D394" s="15"/>
      <c r="E394" s="15"/>
      <c r="F394" s="15"/>
    </row>
    <row r="395" spans="1:6" x14ac:dyDescent="0.25">
      <c r="A395" s="15"/>
      <c r="B395" s="15"/>
      <c r="C395" s="15"/>
      <c r="D395" s="15"/>
      <c r="E395" s="15"/>
      <c r="F395" s="15"/>
    </row>
    <row r="396" spans="1:6" x14ac:dyDescent="0.25">
      <c r="A396" s="15"/>
      <c r="B396" s="15"/>
      <c r="C396" s="15"/>
      <c r="D396" s="15"/>
      <c r="E396" s="15"/>
      <c r="F396" s="15"/>
    </row>
    <row r="397" spans="1:6" x14ac:dyDescent="0.25">
      <c r="A397" s="15"/>
      <c r="B397" s="15"/>
      <c r="C397" s="15"/>
      <c r="D397" s="15"/>
      <c r="E397" s="15"/>
      <c r="F397" s="15"/>
    </row>
    <row r="398" spans="1:6" x14ac:dyDescent="0.25">
      <c r="A398" s="15"/>
      <c r="B398" s="15"/>
      <c r="C398" s="15"/>
      <c r="D398" s="15"/>
      <c r="E398" s="15"/>
      <c r="F398" s="15"/>
    </row>
    <row r="399" spans="1:6" x14ac:dyDescent="0.25">
      <c r="A399" s="15"/>
      <c r="B399" s="15"/>
      <c r="C399" s="15"/>
      <c r="D399" s="15"/>
      <c r="E399" s="15"/>
      <c r="F399" s="15"/>
    </row>
    <row r="400" spans="1:6" x14ac:dyDescent="0.25">
      <c r="A400" s="15"/>
      <c r="B400" s="15"/>
      <c r="C400" s="15"/>
      <c r="D400" s="15"/>
      <c r="E400" s="15"/>
      <c r="F400" s="15"/>
    </row>
    <row r="401" spans="1:6" x14ac:dyDescent="0.25">
      <c r="A401" s="15"/>
      <c r="B401" s="15"/>
      <c r="C401" s="15"/>
      <c r="D401" s="15"/>
      <c r="E401" s="15"/>
      <c r="F401" s="15"/>
    </row>
    <row r="402" spans="1:6" x14ac:dyDescent="0.25">
      <c r="A402" s="15"/>
      <c r="B402" s="15"/>
      <c r="C402" s="15"/>
      <c r="D402" s="15"/>
      <c r="E402" s="15"/>
      <c r="F402" s="15"/>
    </row>
    <row r="403" spans="1:6" x14ac:dyDescent="0.25">
      <c r="A403" s="15"/>
      <c r="B403" s="15"/>
      <c r="C403" s="15"/>
      <c r="D403" s="15"/>
      <c r="E403" s="15"/>
      <c r="F403" s="15"/>
    </row>
    <row r="404" spans="1:6" x14ac:dyDescent="0.25">
      <c r="A404" s="15"/>
      <c r="B404" s="15"/>
      <c r="C404" s="15"/>
      <c r="D404" s="15"/>
      <c r="E404" s="15"/>
      <c r="F404" s="15"/>
    </row>
    <row r="405" spans="1:6" x14ac:dyDescent="0.25">
      <c r="A405" s="15"/>
      <c r="B405" s="15"/>
      <c r="C405" s="15"/>
      <c r="D405" s="15"/>
      <c r="E405" s="15"/>
      <c r="F405" s="15"/>
    </row>
    <row r="406" spans="1:6" x14ac:dyDescent="0.25">
      <c r="A406" s="15"/>
      <c r="B406" s="15"/>
      <c r="C406" s="15"/>
      <c r="D406" s="15"/>
      <c r="E406" s="15"/>
      <c r="F406" s="15"/>
    </row>
    <row r="407" spans="1:6" x14ac:dyDescent="0.25">
      <c r="A407" s="15"/>
      <c r="B407" s="15"/>
      <c r="C407" s="15"/>
      <c r="D407" s="15"/>
      <c r="E407" s="15"/>
      <c r="F407" s="15"/>
    </row>
    <row r="408" spans="1:6" x14ac:dyDescent="0.25">
      <c r="A408" s="15"/>
      <c r="B408" s="15"/>
      <c r="C408" s="15"/>
      <c r="D408" s="15"/>
      <c r="E408" s="15"/>
      <c r="F408" s="15"/>
    </row>
    <row r="409" spans="1:6" x14ac:dyDescent="0.25">
      <c r="A409" s="15"/>
      <c r="B409" s="15"/>
      <c r="C409" s="15"/>
      <c r="D409" s="15"/>
      <c r="E409" s="15"/>
      <c r="F409" s="15"/>
    </row>
    <row r="410" spans="1:6" x14ac:dyDescent="0.25">
      <c r="A410" s="15"/>
      <c r="B410" s="15"/>
      <c r="C410" s="15"/>
      <c r="D410" s="15"/>
      <c r="E410" s="15"/>
      <c r="F410" s="15"/>
    </row>
    <row r="411" spans="1:6" x14ac:dyDescent="0.25">
      <c r="A411" s="15"/>
      <c r="B411" s="15"/>
      <c r="C411" s="15"/>
      <c r="D411" s="15"/>
      <c r="E411" s="15"/>
      <c r="F411" s="15"/>
    </row>
    <row r="412" spans="1:6" x14ac:dyDescent="0.25">
      <c r="A412" s="15"/>
      <c r="B412" s="15"/>
      <c r="C412" s="15"/>
      <c r="D412" s="15"/>
      <c r="E412" s="15"/>
      <c r="F412" s="15"/>
    </row>
    <row r="413" spans="1:6" x14ac:dyDescent="0.25">
      <c r="A413" s="15"/>
      <c r="B413" s="15"/>
      <c r="C413" s="15"/>
      <c r="D413" s="15"/>
      <c r="E413" s="15"/>
      <c r="F413" s="15"/>
    </row>
    <row r="414" spans="1:6" x14ac:dyDescent="0.25">
      <c r="A414" s="15"/>
      <c r="B414" s="15"/>
      <c r="C414" s="15"/>
      <c r="D414" s="15"/>
      <c r="E414" s="15"/>
      <c r="F414" s="15"/>
    </row>
    <row r="415" spans="1:6" x14ac:dyDescent="0.25">
      <c r="A415" s="15"/>
      <c r="B415" s="15"/>
      <c r="C415" s="15"/>
      <c r="D415" s="15"/>
      <c r="E415" s="15"/>
      <c r="F415" s="15"/>
    </row>
    <row r="416" spans="1:6" x14ac:dyDescent="0.25">
      <c r="A416" s="15"/>
      <c r="B416" s="15"/>
      <c r="C416" s="15"/>
      <c r="D416" s="15"/>
      <c r="E416" s="15"/>
      <c r="F416" s="15"/>
    </row>
    <row r="417" spans="1:6" x14ac:dyDescent="0.25">
      <c r="A417" s="15"/>
      <c r="B417" s="15"/>
      <c r="C417" s="15"/>
      <c r="D417" s="15"/>
      <c r="E417" s="15"/>
      <c r="F417" s="15"/>
    </row>
    <row r="418" spans="1:6" x14ac:dyDescent="0.25">
      <c r="A418" s="15"/>
      <c r="B418" s="15"/>
      <c r="C418" s="15"/>
      <c r="D418" s="15"/>
      <c r="E418" s="15"/>
      <c r="F418" s="15"/>
    </row>
    <row r="419" spans="1:6" x14ac:dyDescent="0.25">
      <c r="A419" s="15"/>
      <c r="B419" s="15"/>
      <c r="C419" s="15"/>
      <c r="D419" s="15"/>
      <c r="E419" s="15"/>
      <c r="F419" s="15"/>
    </row>
    <row r="420" spans="1:6" x14ac:dyDescent="0.25">
      <c r="A420" s="15"/>
      <c r="B420" s="15"/>
      <c r="C420" s="15"/>
      <c r="D420" s="15"/>
      <c r="E420" s="15"/>
      <c r="F420" s="15"/>
    </row>
    <row r="421" spans="1:6" x14ac:dyDescent="0.25">
      <c r="A421" s="15"/>
      <c r="B421" s="15"/>
      <c r="C421" s="15"/>
      <c r="D421" s="15"/>
      <c r="E421" s="15"/>
      <c r="F421" s="15"/>
    </row>
    <row r="422" spans="1:6" x14ac:dyDescent="0.25">
      <c r="A422" s="15"/>
      <c r="B422" s="15"/>
      <c r="C422" s="15"/>
      <c r="D422" s="15"/>
      <c r="E422" s="15"/>
      <c r="F422" s="15"/>
    </row>
    <row r="423" spans="1:6" x14ac:dyDescent="0.25">
      <c r="A423" s="15"/>
      <c r="B423" s="15"/>
      <c r="C423" s="15"/>
      <c r="D423" s="15"/>
      <c r="E423" s="15"/>
      <c r="F423" s="15"/>
    </row>
    <row r="424" spans="1:6" x14ac:dyDescent="0.25">
      <c r="A424" s="15"/>
      <c r="B424" s="15"/>
      <c r="C424" s="15"/>
      <c r="D424" s="15"/>
      <c r="E424" s="15"/>
      <c r="F424" s="15"/>
    </row>
    <row r="425" spans="1:6" x14ac:dyDescent="0.25">
      <c r="A425" s="15"/>
      <c r="B425" s="15"/>
      <c r="C425" s="15"/>
      <c r="D425" s="15"/>
      <c r="E425" s="15"/>
      <c r="F425" s="15"/>
    </row>
    <row r="426" spans="1:6" x14ac:dyDescent="0.25">
      <c r="A426" s="15"/>
      <c r="B426" s="15"/>
      <c r="C426" s="15"/>
      <c r="D426" s="15"/>
      <c r="E426" s="15"/>
      <c r="F426" s="15"/>
    </row>
    <row r="427" spans="1:6" x14ac:dyDescent="0.25">
      <c r="A427" s="15"/>
      <c r="B427" s="15"/>
      <c r="C427" s="15"/>
      <c r="D427" s="15"/>
      <c r="E427" s="15"/>
      <c r="F427" s="15"/>
    </row>
    <row r="428" spans="1:6" x14ac:dyDescent="0.25">
      <c r="A428" s="15"/>
      <c r="B428" s="15"/>
      <c r="C428" s="15"/>
      <c r="D428" s="15"/>
      <c r="E428" s="15"/>
      <c r="F428" s="15"/>
    </row>
    <row r="429" spans="1:6" x14ac:dyDescent="0.25">
      <c r="A429" s="15"/>
      <c r="B429" s="15"/>
      <c r="C429" s="15"/>
      <c r="D429" s="15"/>
      <c r="E429" s="15"/>
      <c r="F429" s="15"/>
    </row>
    <row r="430" spans="1:6" x14ac:dyDescent="0.25">
      <c r="A430" s="15"/>
      <c r="B430" s="15"/>
      <c r="C430" s="15"/>
      <c r="D430" s="15"/>
      <c r="E430" s="15"/>
      <c r="F430" s="15"/>
    </row>
    <row r="431" spans="1:6" x14ac:dyDescent="0.25">
      <c r="A431" s="15"/>
      <c r="B431" s="15"/>
      <c r="C431" s="15"/>
      <c r="D431" s="15"/>
      <c r="E431" s="15"/>
      <c r="F431" s="15"/>
    </row>
    <row r="432" spans="1:6" x14ac:dyDescent="0.25">
      <c r="A432" s="15"/>
      <c r="B432" s="15"/>
      <c r="C432" s="15"/>
      <c r="D432" s="15"/>
      <c r="E432" s="15"/>
      <c r="F432" s="15"/>
    </row>
    <row r="433" spans="1:6" x14ac:dyDescent="0.25">
      <c r="A433" s="15"/>
      <c r="B433" s="15"/>
      <c r="C433" s="15"/>
      <c r="D433" s="15"/>
      <c r="E433" s="15"/>
      <c r="F433" s="15"/>
    </row>
    <row r="434" spans="1:6" x14ac:dyDescent="0.25">
      <c r="A434" s="15"/>
      <c r="B434" s="15"/>
      <c r="C434" s="15"/>
      <c r="D434" s="15"/>
      <c r="E434" s="15"/>
      <c r="F434" s="15"/>
    </row>
    <row r="435" spans="1:6" x14ac:dyDescent="0.25">
      <c r="A435" s="15"/>
      <c r="B435" s="15"/>
      <c r="C435" s="15"/>
      <c r="D435" s="15"/>
      <c r="E435" s="15"/>
      <c r="F435" s="15"/>
    </row>
    <row r="436" spans="1:6" x14ac:dyDescent="0.25">
      <c r="A436" s="15"/>
      <c r="B436" s="15"/>
      <c r="C436" s="15"/>
      <c r="D436" s="15"/>
      <c r="E436" s="15"/>
      <c r="F436" s="15"/>
    </row>
    <row r="437" spans="1:6" x14ac:dyDescent="0.25">
      <c r="A437" s="15"/>
      <c r="B437" s="15"/>
      <c r="C437" s="15"/>
      <c r="D437" s="15"/>
      <c r="E437" s="15"/>
      <c r="F437" s="15"/>
    </row>
    <row r="438" spans="1:6" x14ac:dyDescent="0.25">
      <c r="A438" s="15"/>
      <c r="B438" s="15"/>
      <c r="C438" s="15"/>
      <c r="D438" s="15"/>
      <c r="E438" s="15"/>
      <c r="F438" s="15"/>
    </row>
    <row r="439" spans="1:6" x14ac:dyDescent="0.25">
      <c r="A439" s="15"/>
      <c r="B439" s="15"/>
      <c r="C439" s="15"/>
      <c r="D439" s="15"/>
      <c r="E439" s="15"/>
      <c r="F439" s="15"/>
    </row>
    <row r="440" spans="1:6" x14ac:dyDescent="0.25">
      <c r="A440" s="15"/>
      <c r="B440" s="15"/>
      <c r="C440" s="15"/>
      <c r="D440" s="15"/>
      <c r="E440" s="15"/>
      <c r="F440" s="15"/>
    </row>
    <row r="441" spans="1:6" x14ac:dyDescent="0.25">
      <c r="A441" s="15"/>
      <c r="B441" s="15"/>
      <c r="C441" s="15"/>
      <c r="D441" s="15"/>
      <c r="E441" s="15"/>
      <c r="F441" s="15"/>
    </row>
    <row r="442" spans="1:6" x14ac:dyDescent="0.25">
      <c r="A442" s="15"/>
      <c r="B442" s="15"/>
      <c r="C442" s="15"/>
      <c r="D442" s="15"/>
      <c r="E442" s="15"/>
      <c r="F442" s="15"/>
    </row>
    <row r="443" spans="1:6" x14ac:dyDescent="0.25">
      <c r="A443" s="15"/>
      <c r="B443" s="15"/>
      <c r="C443" s="15"/>
      <c r="D443" s="15"/>
      <c r="E443" s="15"/>
      <c r="F443" s="15"/>
    </row>
    <row r="444" spans="1:6" x14ac:dyDescent="0.25">
      <c r="A444" s="15"/>
      <c r="B444" s="15"/>
      <c r="C444" s="15"/>
      <c r="D444" s="15"/>
      <c r="E444" s="15"/>
      <c r="F444" s="15"/>
    </row>
    <row r="445" spans="1:6" x14ac:dyDescent="0.25">
      <c r="A445" s="15"/>
      <c r="B445" s="15"/>
      <c r="C445" s="15"/>
      <c r="D445" s="15"/>
      <c r="E445" s="15"/>
      <c r="F445" s="15"/>
    </row>
    <row r="446" spans="1:6" x14ac:dyDescent="0.25">
      <c r="A446" s="15"/>
      <c r="B446" s="15"/>
      <c r="C446" s="15"/>
      <c r="D446" s="15"/>
      <c r="E446" s="15"/>
      <c r="F446" s="15"/>
    </row>
    <row r="447" spans="1:6" x14ac:dyDescent="0.25">
      <c r="A447" s="15"/>
      <c r="B447" s="15"/>
      <c r="C447" s="15"/>
      <c r="D447" s="15"/>
      <c r="E447" s="15"/>
      <c r="F447" s="15"/>
    </row>
    <row r="448" spans="1:6" x14ac:dyDescent="0.25">
      <c r="A448" s="15"/>
      <c r="B448" s="15"/>
      <c r="C448" s="15"/>
      <c r="D448" s="15"/>
      <c r="E448" s="15"/>
      <c r="F448" s="15"/>
    </row>
    <row r="449" spans="1:6" x14ac:dyDescent="0.25">
      <c r="A449" s="15"/>
      <c r="B449" s="15"/>
      <c r="C449" s="15"/>
      <c r="D449" s="15"/>
      <c r="E449" s="15"/>
      <c r="F449" s="15"/>
    </row>
    <row r="450" spans="1:6" x14ac:dyDescent="0.25">
      <c r="A450" s="15"/>
      <c r="B450" s="15"/>
      <c r="C450" s="15"/>
      <c r="D450" s="15"/>
      <c r="E450" s="15"/>
      <c r="F450" s="15"/>
    </row>
    <row r="451" spans="1:6" x14ac:dyDescent="0.25">
      <c r="A451" s="15"/>
      <c r="B451" s="15"/>
      <c r="C451" s="15"/>
      <c r="D451" s="15"/>
      <c r="E451" s="15"/>
      <c r="F451" s="15"/>
    </row>
    <row r="452" spans="1:6" x14ac:dyDescent="0.25">
      <c r="A452" s="15"/>
      <c r="B452" s="15"/>
      <c r="C452" s="15"/>
      <c r="D452" s="15"/>
      <c r="E452" s="15"/>
      <c r="F452" s="15"/>
    </row>
    <row r="453" spans="1:6" x14ac:dyDescent="0.25">
      <c r="A453" s="15"/>
      <c r="B453" s="15"/>
      <c r="C453" s="15"/>
      <c r="D453" s="15"/>
      <c r="E453" s="15"/>
      <c r="F453" s="15"/>
    </row>
    <row r="454" spans="1:6" x14ac:dyDescent="0.25">
      <c r="A454" s="15"/>
      <c r="B454" s="15"/>
      <c r="C454" s="15"/>
      <c r="D454" s="15"/>
      <c r="E454" s="15"/>
      <c r="F454" s="15"/>
    </row>
    <row r="455" spans="1:6" x14ac:dyDescent="0.25">
      <c r="A455" s="15"/>
      <c r="B455" s="15"/>
      <c r="C455" s="15"/>
      <c r="D455" s="15"/>
      <c r="E455" s="15"/>
      <c r="F455" s="15"/>
    </row>
    <row r="456" spans="1:6" x14ac:dyDescent="0.25">
      <c r="A456" s="15"/>
      <c r="B456" s="15"/>
      <c r="C456" s="15"/>
      <c r="D456" s="15"/>
      <c r="E456" s="15"/>
      <c r="F456" s="15"/>
    </row>
    <row r="457" spans="1:6" x14ac:dyDescent="0.25">
      <c r="A457" s="15"/>
      <c r="B457" s="15"/>
      <c r="C457" s="15"/>
      <c r="D457" s="15"/>
      <c r="E457" s="15"/>
      <c r="F457" s="15"/>
    </row>
    <row r="458" spans="1:6" x14ac:dyDescent="0.25">
      <c r="A458" s="15"/>
      <c r="B458" s="15"/>
      <c r="C458" s="15"/>
      <c r="D458" s="15"/>
      <c r="E458" s="15"/>
      <c r="F458" s="15"/>
    </row>
    <row r="459" spans="1:6" x14ac:dyDescent="0.25">
      <c r="A459" s="15"/>
      <c r="B459" s="15"/>
      <c r="C459" s="15"/>
      <c r="D459" s="15"/>
      <c r="E459" s="15"/>
      <c r="F459" s="15"/>
    </row>
    <row r="460" spans="1:6" x14ac:dyDescent="0.25">
      <c r="A460" s="15"/>
      <c r="B460" s="15"/>
      <c r="C460" s="15"/>
      <c r="D460" s="15"/>
      <c r="E460" s="15"/>
      <c r="F460" s="15"/>
    </row>
    <row r="461" spans="1:6" x14ac:dyDescent="0.25">
      <c r="A461" s="15"/>
      <c r="B461" s="15"/>
      <c r="C461" s="15"/>
      <c r="D461" s="15"/>
      <c r="E461" s="15"/>
      <c r="F461" s="15"/>
    </row>
    <row r="462" spans="1:6" x14ac:dyDescent="0.25">
      <c r="A462" s="15"/>
      <c r="B462" s="15"/>
      <c r="C462" s="15"/>
      <c r="D462" s="15"/>
      <c r="E462" s="15"/>
      <c r="F462" s="15"/>
    </row>
    <row r="463" spans="1:6" x14ac:dyDescent="0.25">
      <c r="A463" s="15"/>
      <c r="B463" s="15"/>
      <c r="C463" s="15"/>
      <c r="D463" s="15"/>
      <c r="E463" s="15"/>
      <c r="F463" s="15"/>
    </row>
    <row r="464" spans="1:6" x14ac:dyDescent="0.25">
      <c r="A464" s="15"/>
      <c r="B464" s="15"/>
      <c r="C464" s="15"/>
      <c r="D464" s="15"/>
      <c r="E464" s="15"/>
      <c r="F464" s="15"/>
    </row>
    <row r="465" spans="1:6" x14ac:dyDescent="0.25">
      <c r="A465" s="15"/>
      <c r="B465" s="15"/>
      <c r="C465" s="15"/>
      <c r="D465" s="15"/>
      <c r="E465" s="15"/>
      <c r="F465" s="15"/>
    </row>
    <row r="466" spans="1:6" x14ac:dyDescent="0.25">
      <c r="A466" s="15"/>
      <c r="B466" s="15"/>
      <c r="C466" s="15"/>
      <c r="D466" s="15"/>
      <c r="E466" s="15"/>
      <c r="F466" s="15"/>
    </row>
    <row r="467" spans="1:6" x14ac:dyDescent="0.25">
      <c r="A467" s="15"/>
      <c r="B467" s="15"/>
      <c r="C467" s="15"/>
      <c r="D467" s="15"/>
      <c r="E467" s="15"/>
      <c r="F467" s="15"/>
    </row>
    <row r="468" spans="1:6" x14ac:dyDescent="0.25">
      <c r="A468" s="15"/>
      <c r="B468" s="15"/>
      <c r="C468" s="15"/>
      <c r="D468" s="15"/>
      <c r="E468" s="15"/>
      <c r="F468" s="15"/>
    </row>
    <row r="469" spans="1:6" x14ac:dyDescent="0.25">
      <c r="A469" s="15"/>
      <c r="B469" s="15"/>
      <c r="C469" s="15"/>
      <c r="D469" s="15"/>
      <c r="E469" s="15"/>
      <c r="F469" s="15"/>
    </row>
    <row r="470" spans="1:6" x14ac:dyDescent="0.25">
      <c r="A470" s="15"/>
      <c r="B470" s="15"/>
      <c r="C470" s="15"/>
      <c r="D470" s="15"/>
      <c r="E470" s="15"/>
      <c r="F470" s="15"/>
    </row>
    <row r="471" spans="1:6" x14ac:dyDescent="0.25">
      <c r="A471" s="15"/>
      <c r="B471" s="15"/>
      <c r="C471" s="15"/>
      <c r="D471" s="15"/>
      <c r="E471" s="15"/>
      <c r="F471" s="15"/>
    </row>
    <row r="472" spans="1:6" x14ac:dyDescent="0.25">
      <c r="A472" s="15"/>
      <c r="B472" s="15"/>
      <c r="C472" s="15"/>
      <c r="D472" s="15"/>
      <c r="E472" s="15"/>
      <c r="F472" s="15"/>
    </row>
    <row r="473" spans="1:6" x14ac:dyDescent="0.25">
      <c r="A473" s="15"/>
      <c r="B473" s="15"/>
      <c r="C473" s="15"/>
      <c r="D473" s="15"/>
      <c r="E473" s="15"/>
      <c r="F473" s="15"/>
    </row>
    <row r="474" spans="1:6" x14ac:dyDescent="0.25">
      <c r="A474" s="15"/>
      <c r="B474" s="15"/>
      <c r="C474" s="15"/>
      <c r="D474" s="15"/>
      <c r="E474" s="15"/>
      <c r="F474" s="15"/>
    </row>
    <row r="475" spans="1:6" x14ac:dyDescent="0.25">
      <c r="A475" s="15"/>
      <c r="B475" s="15"/>
      <c r="C475" s="15"/>
      <c r="D475" s="15"/>
      <c r="E475" s="15"/>
      <c r="F475" s="15"/>
    </row>
    <row r="476" spans="1:6" x14ac:dyDescent="0.25">
      <c r="A476" s="15"/>
      <c r="B476" s="15"/>
      <c r="C476" s="15"/>
      <c r="D476" s="15"/>
      <c r="E476" s="15"/>
      <c r="F476" s="15"/>
    </row>
    <row r="477" spans="1:6" x14ac:dyDescent="0.25">
      <c r="A477" s="15"/>
      <c r="B477" s="15"/>
      <c r="C477" s="15"/>
      <c r="D477" s="15"/>
      <c r="E477" s="15"/>
      <c r="F477" s="15"/>
    </row>
    <row r="478" spans="1:6" x14ac:dyDescent="0.25">
      <c r="A478" s="15"/>
      <c r="B478" s="15"/>
      <c r="C478" s="15"/>
      <c r="D478" s="15"/>
      <c r="E478" s="15"/>
      <c r="F478" s="15"/>
    </row>
    <row r="479" spans="1:6" x14ac:dyDescent="0.25">
      <c r="A479" s="15"/>
      <c r="B479" s="15"/>
      <c r="C479" s="15"/>
      <c r="D479" s="15"/>
      <c r="E479" s="15"/>
      <c r="F479" s="15"/>
    </row>
    <row r="480" spans="1:6" x14ac:dyDescent="0.25">
      <c r="A480" s="15"/>
      <c r="B480" s="15"/>
      <c r="C480" s="15"/>
      <c r="D480" s="15"/>
      <c r="E480" s="15"/>
      <c r="F480" s="15"/>
    </row>
    <row r="481" spans="1:6" x14ac:dyDescent="0.25">
      <c r="A481" s="15"/>
      <c r="B481" s="15"/>
      <c r="C481" s="15"/>
      <c r="D481" s="15"/>
      <c r="E481" s="15"/>
      <c r="F481" s="15"/>
    </row>
    <row r="482" spans="1:6" x14ac:dyDescent="0.25">
      <c r="A482" s="15"/>
      <c r="B482" s="15"/>
      <c r="C482" s="15"/>
      <c r="D482" s="15"/>
      <c r="E482" s="15"/>
      <c r="F482" s="15"/>
    </row>
    <row r="483" spans="1:6" x14ac:dyDescent="0.25">
      <c r="A483" s="15"/>
      <c r="B483" s="15"/>
      <c r="C483" s="15"/>
      <c r="D483" s="15"/>
      <c r="E483" s="15"/>
      <c r="F483" s="15"/>
    </row>
    <row r="484" spans="1:6" x14ac:dyDescent="0.25">
      <c r="A484" s="15"/>
      <c r="B484" s="15"/>
      <c r="C484" s="15"/>
      <c r="D484" s="15"/>
      <c r="E484" s="15"/>
      <c r="F484" s="15"/>
    </row>
    <row r="485" spans="1:6" x14ac:dyDescent="0.25">
      <c r="A485" s="15"/>
      <c r="B485" s="15"/>
      <c r="C485" s="15"/>
      <c r="D485" s="15"/>
      <c r="E485" s="15"/>
      <c r="F485" s="15"/>
    </row>
    <row r="486" spans="1:6" x14ac:dyDescent="0.25">
      <c r="A486" s="15"/>
      <c r="B486" s="15"/>
      <c r="C486" s="15"/>
      <c r="D486" s="15"/>
      <c r="E486" s="15"/>
      <c r="F486" s="15"/>
    </row>
    <row r="487" spans="1:6" x14ac:dyDescent="0.25">
      <c r="A487" s="15"/>
      <c r="B487" s="15"/>
      <c r="C487" s="15"/>
      <c r="D487" s="15"/>
      <c r="E487" s="15"/>
      <c r="F487" s="15"/>
    </row>
    <row r="488" spans="1:6" x14ac:dyDescent="0.25">
      <c r="A488" s="15"/>
      <c r="B488" s="15"/>
      <c r="C488" s="15"/>
      <c r="D488" s="15"/>
      <c r="E488" s="15"/>
      <c r="F488" s="15"/>
    </row>
    <row r="489" spans="1:6" x14ac:dyDescent="0.25">
      <c r="A489" s="15"/>
      <c r="B489" s="15"/>
      <c r="C489" s="15"/>
      <c r="D489" s="15"/>
      <c r="E489" s="15"/>
      <c r="F489" s="15"/>
    </row>
    <row r="490" spans="1:6" x14ac:dyDescent="0.25">
      <c r="A490" s="15"/>
      <c r="B490" s="15"/>
      <c r="C490" s="15"/>
      <c r="D490" s="15"/>
      <c r="E490" s="15"/>
      <c r="F490" s="15"/>
    </row>
    <row r="491" spans="1:6" x14ac:dyDescent="0.25">
      <c r="A491" s="15"/>
      <c r="B491" s="15"/>
      <c r="C491" s="15"/>
      <c r="D491" s="15"/>
      <c r="E491" s="15"/>
      <c r="F491" s="15"/>
    </row>
    <row r="492" spans="1:6" x14ac:dyDescent="0.25">
      <c r="A492" s="15"/>
      <c r="B492" s="15"/>
      <c r="C492" s="15"/>
      <c r="D492" s="15"/>
      <c r="E492" s="15"/>
      <c r="F492" s="15"/>
    </row>
    <row r="493" spans="1:6" x14ac:dyDescent="0.25">
      <c r="A493" s="15"/>
      <c r="B493" s="15"/>
      <c r="C493" s="15"/>
      <c r="D493" s="15"/>
      <c r="E493" s="15"/>
      <c r="F493" s="15"/>
    </row>
    <row r="494" spans="1:6" x14ac:dyDescent="0.25">
      <c r="A494" s="15"/>
      <c r="B494" s="15"/>
      <c r="C494" s="15"/>
      <c r="D494" s="15"/>
      <c r="E494" s="15"/>
      <c r="F494" s="15"/>
    </row>
    <row r="495" spans="1:6" x14ac:dyDescent="0.25">
      <c r="A495" s="15"/>
      <c r="B495" s="15"/>
      <c r="C495" s="15"/>
      <c r="D495" s="15"/>
      <c r="E495" s="15"/>
      <c r="F495" s="15"/>
    </row>
    <row r="496" spans="1:6" x14ac:dyDescent="0.25">
      <c r="A496" s="15"/>
      <c r="B496" s="15"/>
      <c r="C496" s="15"/>
      <c r="D496" s="15"/>
      <c r="E496" s="15"/>
      <c r="F496" s="15"/>
    </row>
    <row r="497" spans="1:6" x14ac:dyDescent="0.25">
      <c r="A497" s="15"/>
      <c r="B497" s="15"/>
      <c r="C497" s="15"/>
      <c r="D497" s="15"/>
      <c r="E497" s="15"/>
      <c r="F497" s="15"/>
    </row>
    <row r="498" spans="1:6" x14ac:dyDescent="0.25">
      <c r="A498" s="15"/>
      <c r="B498" s="15"/>
      <c r="C498" s="15"/>
      <c r="D498" s="15"/>
      <c r="E498" s="15"/>
      <c r="F498" s="15"/>
    </row>
    <row r="499" spans="1:6" x14ac:dyDescent="0.25">
      <c r="A499" s="15"/>
      <c r="B499" s="15"/>
      <c r="C499" s="15"/>
      <c r="D499" s="15"/>
      <c r="E499" s="15"/>
      <c r="F499" s="15"/>
    </row>
    <row r="500" spans="1:6" x14ac:dyDescent="0.25">
      <c r="A500" s="15"/>
      <c r="B500" s="15"/>
      <c r="C500" s="15"/>
      <c r="D500" s="15"/>
      <c r="E500" s="15"/>
      <c r="F500" s="15"/>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21F7A-82B0-43E1-BECA-9D6989ABE7FE}">
  <dimension ref="B1:I39"/>
  <sheetViews>
    <sheetView showGridLines="0" tabSelected="1" zoomScale="101" zoomScaleNormal="90" workbookViewId="0">
      <selection activeCell="L20" sqref="L20"/>
    </sheetView>
  </sheetViews>
  <sheetFormatPr defaultRowHeight="15" x14ac:dyDescent="0.25"/>
  <cols>
    <col min="2" max="2" width="14.7109375" customWidth="1"/>
    <col min="3" max="3" width="31.85546875" customWidth="1"/>
    <col min="4" max="4" width="6.140625" customWidth="1"/>
    <col min="5" max="5" width="11.85546875" style="8" customWidth="1"/>
    <col min="6" max="6" width="8" style="10" customWidth="1"/>
    <col min="7" max="7" width="14" style="12" customWidth="1"/>
    <col min="8" max="8" width="12" style="12" customWidth="1"/>
    <col min="9" max="9" width="8.28515625" customWidth="1"/>
    <col min="12" max="12" width="9.140625" customWidth="1"/>
  </cols>
  <sheetData>
    <row r="1" spans="2:9" ht="18" customHeight="1" x14ac:dyDescent="0.25">
      <c r="B1" s="51" t="s">
        <v>33</v>
      </c>
      <c r="C1" s="51"/>
      <c r="D1" s="51"/>
      <c r="E1" s="51"/>
      <c r="F1" s="50" t="s">
        <v>34</v>
      </c>
      <c r="G1" s="50"/>
      <c r="H1" s="50"/>
      <c r="I1" s="50"/>
    </row>
    <row r="2" spans="2:9" ht="15.75" customHeight="1" x14ac:dyDescent="0.25">
      <c r="B2" s="51"/>
      <c r="C2" s="51"/>
      <c r="D2" s="51"/>
      <c r="E2" s="51"/>
      <c r="F2" s="50"/>
      <c r="G2" s="50"/>
      <c r="H2" s="50"/>
      <c r="I2" s="50"/>
    </row>
    <row r="3" spans="2:9" ht="11.25" customHeight="1" x14ac:dyDescent="0.25">
      <c r="B3" s="51"/>
      <c r="C3" s="51"/>
      <c r="D3" s="51"/>
      <c r="E3" s="51"/>
      <c r="F3" s="50"/>
      <c r="G3" s="50"/>
      <c r="H3" s="50"/>
      <c r="I3" s="50"/>
    </row>
    <row r="4" spans="2:9" ht="17.25" customHeight="1" x14ac:dyDescent="0.25">
      <c r="F4" s="50"/>
      <c r="G4" s="50"/>
      <c r="H4" s="50"/>
      <c r="I4" s="50"/>
    </row>
    <row r="5" spans="2:9" x14ac:dyDescent="0.25">
      <c r="B5" t="s">
        <v>56</v>
      </c>
      <c r="C5" t="str">
        <f>Settings!B3</f>
        <v>Shivam Analytics</v>
      </c>
      <c r="G5" s="12" t="s">
        <v>35</v>
      </c>
      <c r="H5" s="12" t="str">
        <f>Settings!B16&amp;"0001"</f>
        <v>INV0001</v>
      </c>
    </row>
    <row r="6" spans="2:9" x14ac:dyDescent="0.25">
      <c r="B6" t="s">
        <v>57</v>
      </c>
      <c r="C6" t="str">
        <f>Settings!B9</f>
        <v>SHIMLA</v>
      </c>
      <c r="G6" s="12" t="s">
        <v>36</v>
      </c>
      <c r="H6" s="7">
        <f ca="1">TODAY()</f>
        <v>46247</v>
      </c>
    </row>
    <row r="7" spans="2:9" x14ac:dyDescent="0.25">
      <c r="B7" t="s">
        <v>58</v>
      </c>
      <c r="C7" s="1">
        <f>Settings!B5</f>
        <v>9857050777</v>
      </c>
      <c r="G7" s="12" t="s">
        <v>37</v>
      </c>
      <c r="H7" s="7">
        <f ca="1">TODAY()+30</f>
        <v>46277</v>
      </c>
    </row>
    <row r="8" spans="2:9" x14ac:dyDescent="0.25">
      <c r="B8" t="s">
        <v>59</v>
      </c>
      <c r="C8" t="str">
        <f>Settings!B6</f>
        <v>shivamthakur32008@gmail.com</v>
      </c>
    </row>
    <row r="11" spans="2:9" x14ac:dyDescent="0.25">
      <c r="B11" s="5" t="s">
        <v>38</v>
      </c>
      <c r="C11" t="s">
        <v>63</v>
      </c>
    </row>
    <row r="12" spans="2:9" x14ac:dyDescent="0.25">
      <c r="B12" t="s">
        <v>18</v>
      </c>
      <c r="C12" t="str">
        <f>_xlfn.XLOOKUP(C11,client!A:A,client!B:B)</f>
        <v>Summit Enterprises Technologies</v>
      </c>
    </row>
    <row r="13" spans="2:9" x14ac:dyDescent="0.25">
      <c r="B13" t="s">
        <v>6</v>
      </c>
    </row>
    <row r="14" spans="2:9" x14ac:dyDescent="0.25">
      <c r="B14" t="s">
        <v>2</v>
      </c>
      <c r="C14">
        <f>_xlfn.XLOOKUP(C12,client!B:B,client!D:D)</f>
        <v>9177777868</v>
      </c>
    </row>
    <row r="15" spans="2:9" x14ac:dyDescent="0.25">
      <c r="B15" t="s">
        <v>54</v>
      </c>
      <c r="C15" t="str">
        <f>_xlfn.XLOOKUP(C11,client!A:A,client!G:G)</f>
        <v>24ABCDE1950F1Z8</v>
      </c>
    </row>
    <row r="17" spans="2:9" x14ac:dyDescent="0.25">
      <c r="B17" s="20" t="s">
        <v>39</v>
      </c>
      <c r="C17" s="21" t="s">
        <v>40</v>
      </c>
      <c r="D17" s="21" t="s">
        <v>55</v>
      </c>
      <c r="E17" s="22" t="s">
        <v>23</v>
      </c>
      <c r="F17" s="23" t="s">
        <v>41</v>
      </c>
      <c r="G17" s="24" t="s">
        <v>42</v>
      </c>
      <c r="H17" s="24" t="s">
        <v>43</v>
      </c>
      <c r="I17" s="25" t="s">
        <v>44</v>
      </c>
    </row>
    <row r="18" spans="2:9" x14ac:dyDescent="0.25">
      <c r="B18" s="18">
        <f>IF(C18="","",1)</f>
        <v>1</v>
      </c>
      <c r="C18" s="6" t="s">
        <v>30</v>
      </c>
      <c r="D18" s="6">
        <v>1</v>
      </c>
      <c r="E18" s="9">
        <f>_xlfn.XLOOKUP(C18,Services!C:C,Services!E:E)</f>
        <v>6000</v>
      </c>
      <c r="F18" s="11">
        <f>Settings!B15</f>
        <v>0.18</v>
      </c>
      <c r="G18" s="13">
        <f>D18*E18*F18</f>
        <v>1080</v>
      </c>
      <c r="H18" s="13">
        <f>D18*E18+G18</f>
        <v>7080</v>
      </c>
      <c r="I18" s="19"/>
    </row>
    <row r="19" spans="2:9" x14ac:dyDescent="0.25">
      <c r="B19" s="18" t="str">
        <f>IF(C19="","",B18+1)</f>
        <v/>
      </c>
      <c r="C19" s="6"/>
      <c r="D19" s="6"/>
      <c r="E19" s="9"/>
      <c r="F19" s="11"/>
      <c r="G19" s="13"/>
      <c r="H19" s="13"/>
      <c r="I19" s="19"/>
    </row>
    <row r="20" spans="2:9" x14ac:dyDescent="0.25">
      <c r="B20" s="18"/>
      <c r="C20" s="6"/>
      <c r="D20" s="6"/>
      <c r="E20" s="9"/>
      <c r="F20" s="11"/>
      <c r="G20" s="13"/>
      <c r="H20" s="13"/>
      <c r="I20" s="19"/>
    </row>
    <row r="21" spans="2:9" x14ac:dyDescent="0.25">
      <c r="B21" s="18"/>
      <c r="C21" s="6"/>
      <c r="D21" s="6"/>
      <c r="E21" s="9"/>
      <c r="F21" s="11"/>
      <c r="G21" s="13"/>
      <c r="H21" s="13"/>
      <c r="I21" s="19"/>
    </row>
    <row r="22" spans="2:9" x14ac:dyDescent="0.25">
      <c r="B22" s="18"/>
      <c r="C22" s="6"/>
      <c r="D22" s="6"/>
      <c r="E22" s="9"/>
      <c r="F22" s="11"/>
      <c r="G22" s="13"/>
      <c r="H22" s="13"/>
      <c r="I22" s="19"/>
    </row>
    <row r="23" spans="2:9" x14ac:dyDescent="0.25">
      <c r="B23" s="18"/>
      <c r="C23" s="6"/>
      <c r="D23" s="6"/>
      <c r="E23" s="9"/>
      <c r="F23" s="11"/>
      <c r="G23" s="13"/>
      <c r="H23" s="13"/>
      <c r="I23" s="19"/>
    </row>
    <row r="24" spans="2:9" x14ac:dyDescent="0.25">
      <c r="B24" s="18"/>
      <c r="C24" s="6"/>
      <c r="D24" s="6"/>
      <c r="E24" s="9"/>
      <c r="F24" s="11"/>
      <c r="G24" s="13"/>
      <c r="H24" s="13"/>
      <c r="I24" s="19"/>
    </row>
    <row r="25" spans="2:9" x14ac:dyDescent="0.25">
      <c r="B25" s="18"/>
      <c r="C25" s="6"/>
      <c r="D25" s="6"/>
      <c r="E25" s="9"/>
      <c r="F25" s="11"/>
      <c r="G25" s="13"/>
      <c r="H25" s="13"/>
      <c r="I25" s="19"/>
    </row>
    <row r="26" spans="2:9" x14ac:dyDescent="0.25">
      <c r="B26" s="18"/>
      <c r="C26" s="6"/>
      <c r="D26" s="6"/>
      <c r="E26" s="9"/>
      <c r="F26" s="11"/>
      <c r="G26" s="13"/>
      <c r="H26" s="13"/>
      <c r="I26" s="19"/>
    </row>
    <row r="27" spans="2:9" x14ac:dyDescent="0.25">
      <c r="B27" s="18"/>
      <c r="C27" s="6"/>
      <c r="D27" s="6"/>
      <c r="E27" s="9"/>
      <c r="F27" s="11"/>
      <c r="G27" s="13"/>
      <c r="H27" s="13"/>
      <c r="I27" s="19"/>
    </row>
    <row r="28" spans="2:9" x14ac:dyDescent="0.25">
      <c r="B28" s="26"/>
      <c r="C28" s="27"/>
      <c r="D28" s="27"/>
      <c r="E28" s="28"/>
      <c r="F28" s="29"/>
      <c r="G28" s="30"/>
      <c r="H28" s="30"/>
      <c r="I28" s="31"/>
    </row>
    <row r="30" spans="2:9" x14ac:dyDescent="0.25">
      <c r="G30" s="13" t="s">
        <v>45</v>
      </c>
      <c r="H30" s="13">
        <f>SUMPRODUCT(D18:D28,E18:E28)</f>
        <v>6000</v>
      </c>
    </row>
    <row r="31" spans="2:9" x14ac:dyDescent="0.25">
      <c r="G31" s="13" t="s">
        <v>42</v>
      </c>
      <c r="H31" s="13">
        <f>SUMPRODUCT(G18:G28)</f>
        <v>1080</v>
      </c>
    </row>
    <row r="32" spans="2:9" x14ac:dyDescent="0.25">
      <c r="G32" s="13" t="s">
        <v>46</v>
      </c>
      <c r="H32" s="13">
        <v>0</v>
      </c>
    </row>
    <row r="33" spans="2:8" x14ac:dyDescent="0.25">
      <c r="G33" s="14" t="s">
        <v>47</v>
      </c>
      <c r="H33" s="14">
        <f>H30+H31-H32</f>
        <v>7080</v>
      </c>
    </row>
    <row r="35" spans="2:8" x14ac:dyDescent="0.25">
      <c r="B35" s="6" t="s">
        <v>48</v>
      </c>
      <c r="C35" s="6"/>
    </row>
    <row r="36" spans="2:8" x14ac:dyDescent="0.25">
      <c r="B36" s="6" t="s">
        <v>49</v>
      </c>
      <c r="C36" s="6"/>
    </row>
    <row r="37" spans="2:8" x14ac:dyDescent="0.25">
      <c r="B37" s="6" t="s">
        <v>50</v>
      </c>
      <c r="C37" s="6"/>
    </row>
    <row r="38" spans="2:8" x14ac:dyDescent="0.25">
      <c r="B38" s="6" t="s">
        <v>51</v>
      </c>
      <c r="C38" s="6"/>
    </row>
    <row r="39" spans="2:8" x14ac:dyDescent="0.25">
      <c r="B39" s="6" t="s">
        <v>52</v>
      </c>
      <c r="C39" s="6"/>
    </row>
  </sheetData>
  <mergeCells count="2">
    <mergeCell ref="F1:I4"/>
    <mergeCell ref="B1:E3"/>
  </mergeCells>
  <pageMargins left="0.25" right="0.25"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3771D8C-2CE0-4D3F-9053-7DC5BF76E6BE}">
          <x14:formula1>
            <xm:f>client!$A:$A</xm:f>
          </x14:formula1>
          <xm:sqref>C11</xm:sqref>
        </x14:dataValidation>
        <x14:dataValidation type="list" allowBlank="1" showInputMessage="1" showErrorMessage="1" xr:uid="{14A8622D-6371-4E87-98C4-DA468BC5DC00}">
          <x14:formula1>
            <xm:f>Services!$C:$C</xm:f>
          </x14:formula1>
          <xm:sqref>C18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D1C5-6B7F-421F-A533-9263554FA89C}">
  <dimension ref="A1:P402"/>
  <sheetViews>
    <sheetView showGridLines="0" showRowColHeaders="0" zoomScale="99" workbookViewId="0">
      <selection activeCell="R10" sqref="R10"/>
    </sheetView>
  </sheetViews>
  <sheetFormatPr defaultRowHeight="15" x14ac:dyDescent="0.25"/>
  <cols>
    <col min="1" max="1" width="10.85546875" customWidth="1"/>
    <col min="2" max="2" width="10.5703125" style="7" bestFit="1" customWidth="1"/>
    <col min="3" max="3" width="33.28515625" bestFit="1" customWidth="1"/>
    <col min="4" max="4" width="16.5703125" customWidth="1"/>
    <col min="5" max="5" width="11" bestFit="1" customWidth="1"/>
    <col min="6" max="6" width="24.140625" customWidth="1"/>
    <col min="7" max="7" width="18.42578125" customWidth="1"/>
    <col min="8" max="8" width="20.42578125" customWidth="1"/>
    <col min="10" max="10" width="20.42578125" hidden="1" customWidth="1"/>
    <col min="11" max="11" width="15" hidden="1" customWidth="1"/>
    <col min="12" max="12" width="0" hidden="1" customWidth="1"/>
    <col min="13" max="13" width="20.28515625" hidden="1" customWidth="1"/>
    <col min="14" max="14" width="15" style="2" hidden="1" customWidth="1"/>
    <col min="15" max="15" width="0" hidden="1" customWidth="1"/>
    <col min="16" max="16" width="10.7109375" hidden="1" customWidth="1"/>
  </cols>
  <sheetData>
    <row r="1" spans="1:14" x14ac:dyDescent="0.25">
      <c r="A1" s="36" t="s">
        <v>19</v>
      </c>
      <c r="B1" s="42" t="s">
        <v>36</v>
      </c>
      <c r="C1" s="37" t="s">
        <v>18</v>
      </c>
      <c r="D1" s="37" t="s">
        <v>62</v>
      </c>
      <c r="E1" s="37" t="s">
        <v>2</v>
      </c>
      <c r="F1" s="37" t="s">
        <v>21</v>
      </c>
      <c r="G1" s="37" t="s">
        <v>2479</v>
      </c>
      <c r="H1" s="38" t="s">
        <v>60</v>
      </c>
    </row>
    <row r="2" spans="1:14" x14ac:dyDescent="0.25">
      <c r="A2" t="str">
        <f>Table5[[#This Row],[Client ID]]</f>
        <v>C0001</v>
      </c>
      <c r="B2" s="7">
        <v>46213</v>
      </c>
      <c r="C2" t="str">
        <f>client!B2</f>
        <v>Summit Enterprises Technologies</v>
      </c>
      <c r="D2" t="str">
        <f>Table5[[#This Row],[Contact Person]]</f>
        <v>Harsh Sharma</v>
      </c>
      <c r="E2">
        <f>Table5[[#This Row],[Phone]]</f>
        <v>9177777868</v>
      </c>
      <c r="F2" s="34" t="s">
        <v>30</v>
      </c>
      <c r="G2">
        <f>_xlfn.XLOOKUP(F2,Table6[Service Name],Table6[Unit Price])</f>
        <v>6000</v>
      </c>
      <c r="H2" t="s">
        <v>61</v>
      </c>
    </row>
    <row r="3" spans="1:14" x14ac:dyDescent="0.25">
      <c r="A3" t="str">
        <f>Table5[[#This Row],[Client ID]]</f>
        <v>C0002</v>
      </c>
      <c r="B3" s="7">
        <v>46214</v>
      </c>
      <c r="C3" t="str">
        <f>client!B3</f>
        <v>Future Solutions LLP</v>
      </c>
      <c r="D3" t="str">
        <f>Table5[[#This Row],[Contact Person]]</f>
        <v>Deepak Mehta</v>
      </c>
      <c r="E3">
        <f>Table5[[#This Row],[Phone]]</f>
        <v>9175006691</v>
      </c>
      <c r="F3" s="35" t="s">
        <v>2283</v>
      </c>
      <c r="G3">
        <f>_xlfn.XLOOKUP(F3,Table6[Service Name],Table6[Unit Price])</f>
        <v>29500</v>
      </c>
      <c r="H3" t="s">
        <v>2481</v>
      </c>
      <c r="M3" s="32" t="s">
        <v>2480</v>
      </c>
      <c r="N3" s="2" t="s">
        <v>2483</v>
      </c>
    </row>
    <row r="4" spans="1:14" x14ac:dyDescent="0.25">
      <c r="A4" t="str">
        <f>Table5[[#This Row],[Client ID]]</f>
        <v>C0003</v>
      </c>
      <c r="B4" s="7">
        <v>46215</v>
      </c>
      <c r="C4" t="str">
        <f>client!B4</f>
        <v>Zenith Retail Pvt Ltd</v>
      </c>
      <c r="D4" t="str">
        <f>Table5[[#This Row],[Contact Person]]</f>
        <v>Ankit Yadav</v>
      </c>
      <c r="E4">
        <f>Table5[[#This Row],[Phone]]</f>
        <v>9525932421</v>
      </c>
      <c r="F4" s="34" t="s">
        <v>2285</v>
      </c>
      <c r="G4">
        <f>_xlfn.XLOOKUP(F4,Table6[Service Name],Table6[Unit Price])</f>
        <v>17000</v>
      </c>
      <c r="H4" t="s">
        <v>2482</v>
      </c>
      <c r="M4" s="33" t="s">
        <v>2484</v>
      </c>
      <c r="N4" s="2">
        <v>588500</v>
      </c>
    </row>
    <row r="5" spans="1:14" x14ac:dyDescent="0.25">
      <c r="A5" t="str">
        <f>Table5[[#This Row],[Client ID]]</f>
        <v>C0004</v>
      </c>
      <c r="B5" s="7">
        <v>46216</v>
      </c>
      <c r="C5" t="str">
        <f>client!B5</f>
        <v>Vision Enterprises Enterprises</v>
      </c>
      <c r="D5" t="str">
        <f>Table5[[#This Row],[Contact Person]]</f>
        <v>Neha Yadav</v>
      </c>
      <c r="E5">
        <f>Table5[[#This Row],[Phone]]</f>
        <v>9431229838</v>
      </c>
      <c r="F5" s="35" t="s">
        <v>2287</v>
      </c>
      <c r="G5">
        <f>_xlfn.XLOOKUP(F5,Table6[Service Name],Table6[Unit Price])</f>
        <v>45000</v>
      </c>
      <c r="H5" t="s">
        <v>2481</v>
      </c>
      <c r="M5" s="33" t="s">
        <v>2485</v>
      </c>
      <c r="N5" s="2">
        <v>826500</v>
      </c>
    </row>
    <row r="6" spans="1:14" x14ac:dyDescent="0.25">
      <c r="A6" t="str">
        <f>Table5[[#This Row],[Client ID]]</f>
        <v>C0005</v>
      </c>
      <c r="B6" s="7">
        <v>46217</v>
      </c>
      <c r="C6" t="str">
        <f>client!B6</f>
        <v>Golden Digital LLP</v>
      </c>
      <c r="D6" t="str">
        <f>Table5[[#This Row],[Contact Person]]</f>
        <v>Varun Mishra</v>
      </c>
      <c r="E6">
        <f>Table5[[#This Row],[Phone]]</f>
        <v>9167419149</v>
      </c>
      <c r="F6" s="34" t="s">
        <v>2289</v>
      </c>
      <c r="G6">
        <f>_xlfn.XLOOKUP(F6,Table6[Service Name],Table6[Unit Price])</f>
        <v>19000</v>
      </c>
      <c r="H6" t="s">
        <v>61</v>
      </c>
      <c r="M6" s="33" t="s">
        <v>2486</v>
      </c>
      <c r="N6" s="2">
        <v>873000</v>
      </c>
    </row>
    <row r="7" spans="1:14" x14ac:dyDescent="0.25">
      <c r="A7" t="str">
        <f>Table5[[#This Row],[Client ID]]</f>
        <v>C0006</v>
      </c>
      <c r="B7" s="7">
        <v>46218</v>
      </c>
      <c r="C7" t="str">
        <f>client!B7</f>
        <v>Infinity Exports Works</v>
      </c>
      <c r="D7" t="str">
        <f>Table5[[#This Row],[Contact Person]]</f>
        <v>Riya Yadav</v>
      </c>
      <c r="E7">
        <f>Table5[[#This Row],[Phone]]</f>
        <v>9586603020</v>
      </c>
      <c r="F7" s="35" t="s">
        <v>2291</v>
      </c>
      <c r="G7">
        <f>_xlfn.XLOOKUP(F7,Table6[Service Name],Table6[Unit Price])</f>
        <v>48000</v>
      </c>
      <c r="H7" t="s">
        <v>2481</v>
      </c>
      <c r="M7" s="33" t="s">
        <v>2487</v>
      </c>
      <c r="N7" s="2">
        <v>809500</v>
      </c>
    </row>
    <row r="8" spans="1:14" x14ac:dyDescent="0.25">
      <c r="A8" t="str">
        <f>Table5[[#This Row],[Client ID]]</f>
        <v>C0007</v>
      </c>
      <c r="B8" s="7">
        <v>46219</v>
      </c>
      <c r="C8" t="str">
        <f>client!B8</f>
        <v>Vertex Energy India</v>
      </c>
      <c r="D8" t="str">
        <f>Table5[[#This Row],[Contact Person]]</f>
        <v>Sneha Kapoor</v>
      </c>
      <c r="E8">
        <f>Table5[[#This Row],[Phone]]</f>
        <v>9468804211</v>
      </c>
      <c r="F8" s="34" t="s">
        <v>2293</v>
      </c>
      <c r="G8">
        <f>_xlfn.XLOOKUP(F8,Table6[Service Name],Table6[Unit Price])</f>
        <v>31000</v>
      </c>
      <c r="H8" t="s">
        <v>2482</v>
      </c>
      <c r="M8" s="33" t="s">
        <v>2488</v>
      </c>
      <c r="N8" s="2">
        <v>806000</v>
      </c>
    </row>
    <row r="9" spans="1:14" x14ac:dyDescent="0.25">
      <c r="A9" t="str">
        <f>Table5[[#This Row],[Client ID]]</f>
        <v>C0008</v>
      </c>
      <c r="B9" s="7">
        <v>46220</v>
      </c>
      <c r="C9" t="str">
        <f>client!B9</f>
        <v>Matrix Manufacturing Corporation</v>
      </c>
      <c r="D9" t="str">
        <f>Table5[[#This Row],[Contact Person]]</f>
        <v>Suresh Gupta</v>
      </c>
      <c r="E9">
        <f>Table5[[#This Row],[Phone]]</f>
        <v>9625020128</v>
      </c>
      <c r="F9" s="35" t="s">
        <v>2295</v>
      </c>
      <c r="G9">
        <f>_xlfn.XLOOKUP(F9,Table6[Service Name],Table6[Unit Price])</f>
        <v>46500</v>
      </c>
      <c r="H9" t="s">
        <v>2481</v>
      </c>
      <c r="M9" s="33" t="s">
        <v>2489</v>
      </c>
      <c r="N9" s="2">
        <v>410000</v>
      </c>
    </row>
    <row r="10" spans="1:14" x14ac:dyDescent="0.25">
      <c r="A10" t="str">
        <f>Table5[[#This Row],[Client ID]]</f>
        <v>C0009</v>
      </c>
      <c r="B10" s="7">
        <v>46221</v>
      </c>
      <c r="C10" t="str">
        <f>client!B10</f>
        <v>Dynamic Packaging Solutions</v>
      </c>
      <c r="D10" t="str">
        <f>Table5[[#This Row],[Contact Person]]</f>
        <v>Ankit Reddy</v>
      </c>
      <c r="E10">
        <f>Table5[[#This Row],[Phone]]</f>
        <v>9589846746</v>
      </c>
      <c r="F10" s="34" t="s">
        <v>2297</v>
      </c>
      <c r="G10">
        <f>_xlfn.XLOOKUP(F10,Table6[Service Name],Table6[Unit Price])</f>
        <v>30000</v>
      </c>
      <c r="H10" t="s">
        <v>61</v>
      </c>
      <c r="M10" s="33" t="s">
        <v>47</v>
      </c>
      <c r="N10" s="2">
        <v>4313500</v>
      </c>
    </row>
    <row r="11" spans="1:14" x14ac:dyDescent="0.25">
      <c r="A11" t="str">
        <f>Table5[[#This Row],[Client ID]]</f>
        <v>C0010</v>
      </c>
      <c r="B11" s="7">
        <v>46222</v>
      </c>
      <c r="C11" t="str">
        <f>client!B11</f>
        <v>Elite Solutions India</v>
      </c>
      <c r="D11" t="str">
        <f>Table5[[#This Row],[Contact Person]]</f>
        <v>Harsh Yadav</v>
      </c>
      <c r="E11">
        <f>Table5[[#This Row],[Phone]]</f>
        <v>9831472844</v>
      </c>
      <c r="F11" s="35" t="s">
        <v>2299</v>
      </c>
      <c r="G11">
        <f>_xlfn.XLOOKUP(F11,Table6[Service Name],Table6[Unit Price])</f>
        <v>12500</v>
      </c>
      <c r="H11" t="s">
        <v>2481</v>
      </c>
    </row>
    <row r="12" spans="1:14" x14ac:dyDescent="0.25">
      <c r="A12" t="str">
        <f>Table5[[#This Row],[Client ID]]</f>
        <v>C0011</v>
      </c>
      <c r="B12" s="7">
        <v>46223</v>
      </c>
      <c r="C12" t="str">
        <f>client!B12</f>
        <v>Nexus Digital Corporation</v>
      </c>
      <c r="D12" t="str">
        <f>Table5[[#This Row],[Contact Person]]</f>
        <v>Divya Verma</v>
      </c>
      <c r="E12">
        <f>Table5[[#This Row],[Phone]]</f>
        <v>9630098818</v>
      </c>
      <c r="F12" s="34" t="s">
        <v>2301</v>
      </c>
      <c r="G12">
        <f>_xlfn.XLOOKUP(F12,Table6[Service Name],Table6[Unit Price])</f>
        <v>6500</v>
      </c>
      <c r="H12" t="s">
        <v>2482</v>
      </c>
    </row>
    <row r="13" spans="1:14" x14ac:dyDescent="0.25">
      <c r="A13" t="str">
        <f>Table5[[#This Row],[Client ID]]</f>
        <v>C0012</v>
      </c>
      <c r="B13" s="7">
        <v>46224</v>
      </c>
      <c r="C13" t="str">
        <f>client!B13</f>
        <v>Rapid Healthcare Solutions</v>
      </c>
      <c r="D13" t="str">
        <f>Table5[[#This Row],[Contact Person]]</f>
        <v>Priya Gupta</v>
      </c>
      <c r="E13">
        <f>Table5[[#This Row],[Phone]]</f>
        <v>9582311296</v>
      </c>
      <c r="F13" s="35" t="s">
        <v>29</v>
      </c>
      <c r="G13">
        <f>_xlfn.XLOOKUP(F13,Table6[Service Name],Table6[Unit Price])</f>
        <v>47500</v>
      </c>
      <c r="H13" t="s">
        <v>2481</v>
      </c>
    </row>
    <row r="14" spans="1:14" x14ac:dyDescent="0.25">
      <c r="A14" t="str">
        <f>Table5[[#This Row],[Client ID]]</f>
        <v>C0013</v>
      </c>
      <c r="B14" s="7">
        <v>46225</v>
      </c>
      <c r="C14" t="str">
        <f>client!B14</f>
        <v>Titan Foods Technologies</v>
      </c>
      <c r="D14" t="str">
        <f>Table5[[#This Row],[Contact Person]]</f>
        <v>Meera Bansal</v>
      </c>
      <c r="E14">
        <f>Table5[[#This Row],[Phone]]</f>
        <v>9508495730</v>
      </c>
      <c r="F14" s="34" t="s">
        <v>2304</v>
      </c>
      <c r="G14">
        <f>_xlfn.XLOOKUP(F14,Table6[Service Name],Table6[Unit Price])</f>
        <v>11500</v>
      </c>
      <c r="H14" t="s">
        <v>61</v>
      </c>
    </row>
    <row r="15" spans="1:14" x14ac:dyDescent="0.25">
      <c r="A15" t="str">
        <f>Table5[[#This Row],[Client ID]]</f>
        <v>C0014</v>
      </c>
      <c r="B15" s="7">
        <v>46226</v>
      </c>
      <c r="C15" t="str">
        <f>client!B15</f>
        <v>Royal Infra Group</v>
      </c>
      <c r="D15" t="str">
        <f>Table5[[#This Row],[Contact Person]]</f>
        <v>Amit Kapoor</v>
      </c>
      <c r="E15">
        <f>Table5[[#This Row],[Phone]]</f>
        <v>9992379915</v>
      </c>
      <c r="F15" s="35" t="s">
        <v>2306</v>
      </c>
      <c r="G15">
        <f>_xlfn.XLOOKUP(F15,Table6[Service Name],Table6[Unit Price])</f>
        <v>5500</v>
      </c>
      <c r="H15" t="s">
        <v>2481</v>
      </c>
    </row>
    <row r="16" spans="1:14" x14ac:dyDescent="0.25">
      <c r="A16" t="str">
        <f>Table5[[#This Row],[Client ID]]</f>
        <v>C0015</v>
      </c>
      <c r="B16" s="7">
        <v>46227</v>
      </c>
      <c r="C16" t="str">
        <f>client!B16</f>
        <v>Sky Manufacturing Enterprises</v>
      </c>
      <c r="D16" t="str">
        <f>Table5[[#This Row],[Contact Person]]</f>
        <v>Meera Yadav</v>
      </c>
      <c r="E16">
        <f>Table5[[#This Row],[Phone]]</f>
        <v>9708104260</v>
      </c>
      <c r="F16" s="34" t="s">
        <v>2308</v>
      </c>
      <c r="G16">
        <f>_xlfn.XLOOKUP(F16,Table6[Service Name],Table6[Unit Price])</f>
        <v>13000</v>
      </c>
      <c r="H16" t="s">
        <v>2482</v>
      </c>
    </row>
    <row r="17" spans="1:16" x14ac:dyDescent="0.25">
      <c r="A17" t="str">
        <f>Table5[[#This Row],[Client ID]]</f>
        <v>C0016</v>
      </c>
      <c r="B17" s="7">
        <v>46228</v>
      </c>
      <c r="C17" t="str">
        <f>client!B17</f>
        <v>Blue Services Enterprises</v>
      </c>
      <c r="D17" t="str">
        <f>Table5[[#This Row],[Contact Person]]</f>
        <v>Akash Mehta</v>
      </c>
      <c r="E17">
        <f>Table5[[#This Row],[Phone]]</f>
        <v>9528400257</v>
      </c>
      <c r="F17" s="35" t="s">
        <v>2310</v>
      </c>
      <c r="G17">
        <f>_xlfn.XLOOKUP(F17,Table6[Service Name],Table6[Unit Price])</f>
        <v>31500</v>
      </c>
      <c r="H17" t="s">
        <v>2481</v>
      </c>
    </row>
    <row r="18" spans="1:16" x14ac:dyDescent="0.25">
      <c r="A18" t="str">
        <f>Table5[[#This Row],[Client ID]]</f>
        <v>C0017</v>
      </c>
      <c r="B18" s="7">
        <v>46229</v>
      </c>
      <c r="C18" t="str">
        <f>client!B18</f>
        <v>Golden Industries Group</v>
      </c>
      <c r="D18" t="str">
        <f>Table5[[#This Row],[Contact Person]]</f>
        <v>Riya Gupta</v>
      </c>
      <c r="E18">
        <f>Table5[[#This Row],[Phone]]</f>
        <v>9218034622</v>
      </c>
      <c r="F18" s="34" t="s">
        <v>2312</v>
      </c>
      <c r="G18">
        <f>_xlfn.XLOOKUP(F18,Table6[Service Name],Table6[Unit Price])</f>
        <v>21500</v>
      </c>
      <c r="H18" t="s">
        <v>61</v>
      </c>
      <c r="M18" s="32" t="s">
        <v>2480</v>
      </c>
      <c r="N18" s="2" t="s">
        <v>2483</v>
      </c>
    </row>
    <row r="19" spans="1:16" x14ac:dyDescent="0.25">
      <c r="A19" t="str">
        <f>Table5[[#This Row],[Client ID]]</f>
        <v>C0018</v>
      </c>
      <c r="B19" s="7">
        <v>46230</v>
      </c>
      <c r="C19" t="str">
        <f>client!B19</f>
        <v>Sky Analytics LLP</v>
      </c>
      <c r="D19" t="str">
        <f>Table5[[#This Row],[Contact Person]]</f>
        <v>Meera Yadav</v>
      </c>
      <c r="E19">
        <f>Table5[[#This Row],[Phone]]</f>
        <v>9127381374</v>
      </c>
      <c r="F19" s="35" t="s">
        <v>2314</v>
      </c>
      <c r="G19">
        <f>_xlfn.XLOOKUP(F19,Table6[Service Name],Table6[Unit Price])</f>
        <v>17500</v>
      </c>
      <c r="H19" t="s">
        <v>2481</v>
      </c>
      <c r="M19" s="33" t="s">
        <v>1303</v>
      </c>
      <c r="N19" s="2">
        <v>45000</v>
      </c>
    </row>
    <row r="20" spans="1:16" x14ac:dyDescent="0.25">
      <c r="A20" t="str">
        <f>Table5[[#This Row],[Client ID]]</f>
        <v>C0019</v>
      </c>
      <c r="B20" s="7">
        <v>46231</v>
      </c>
      <c r="C20" t="str">
        <f>client!B20</f>
        <v>Global Digital Works</v>
      </c>
      <c r="D20" t="str">
        <f>Table5[[#This Row],[Contact Person]]</f>
        <v>Arjun Verma</v>
      </c>
      <c r="E20">
        <f>Table5[[#This Row],[Phone]]</f>
        <v>9223859888</v>
      </c>
      <c r="F20" s="34" t="s">
        <v>2316</v>
      </c>
      <c r="G20">
        <f>_xlfn.XLOOKUP(F20,Table6[Service Name],Table6[Unit Price])</f>
        <v>40000</v>
      </c>
      <c r="H20" t="s">
        <v>2482</v>
      </c>
      <c r="M20" s="33" t="s">
        <v>1263</v>
      </c>
      <c r="N20" s="2">
        <v>49500</v>
      </c>
    </row>
    <row r="21" spans="1:16" x14ac:dyDescent="0.25">
      <c r="A21" t="str">
        <f>Table5[[#This Row],[Client ID]]</f>
        <v>C0020</v>
      </c>
      <c r="B21" s="7">
        <v>46232</v>
      </c>
      <c r="C21" t="str">
        <f>client!B21</f>
        <v>Vertex Enterprises LLP</v>
      </c>
      <c r="D21" t="str">
        <f>Table5[[#This Row],[Contact Person]]</f>
        <v>Kavya Jain</v>
      </c>
      <c r="E21">
        <f>Table5[[#This Row],[Phone]]</f>
        <v>9894946073</v>
      </c>
      <c r="F21" s="35" t="s">
        <v>2318</v>
      </c>
      <c r="G21">
        <f>_xlfn.XLOOKUP(F21,Table6[Service Name],Table6[Unit Price])</f>
        <v>23000</v>
      </c>
      <c r="H21" t="s">
        <v>2481</v>
      </c>
      <c r="M21" s="33" t="s">
        <v>1279</v>
      </c>
      <c r="N21" s="2">
        <v>46000</v>
      </c>
    </row>
    <row r="22" spans="1:16" x14ac:dyDescent="0.25">
      <c r="A22" t="str">
        <f>Table5[[#This Row],[Client ID]]</f>
        <v>C0021</v>
      </c>
      <c r="B22" s="7">
        <v>46233</v>
      </c>
      <c r="C22" t="str">
        <f>client!B22</f>
        <v>Future Automation Works</v>
      </c>
      <c r="D22" t="str">
        <f>Table5[[#This Row],[Contact Person]]</f>
        <v>Karan Mishra</v>
      </c>
      <c r="E22">
        <f>Table5[[#This Row],[Phone]]</f>
        <v>9683226946</v>
      </c>
      <c r="F22" s="34" t="s">
        <v>2320</v>
      </c>
      <c r="G22">
        <f>_xlfn.XLOOKUP(F22,Table6[Service Name],Table6[Unit Price])</f>
        <v>48000</v>
      </c>
      <c r="H22" t="s">
        <v>61</v>
      </c>
      <c r="M22" s="33" t="s">
        <v>1255</v>
      </c>
      <c r="N22" s="2">
        <v>32500</v>
      </c>
    </row>
    <row r="23" spans="1:16" x14ac:dyDescent="0.25">
      <c r="A23" t="str">
        <f>Table5[[#This Row],[Client ID]]</f>
        <v>C0022</v>
      </c>
      <c r="B23" s="7">
        <v>46234</v>
      </c>
      <c r="C23" t="str">
        <f>client!B23</f>
        <v>Global Automation Works</v>
      </c>
      <c r="D23" t="str">
        <f>Table5[[#This Row],[Contact Person]]</f>
        <v>Rohit Jain</v>
      </c>
      <c r="E23">
        <f>Table5[[#This Row],[Phone]]</f>
        <v>9928862021</v>
      </c>
      <c r="F23" s="35" t="s">
        <v>2322</v>
      </c>
      <c r="G23">
        <f>_xlfn.XLOOKUP(F23,Table6[Service Name],Table6[Unit Price])</f>
        <v>38500</v>
      </c>
      <c r="H23" t="s">
        <v>2481</v>
      </c>
      <c r="M23" s="33" t="s">
        <v>1310</v>
      </c>
      <c r="N23" s="2">
        <v>44500</v>
      </c>
    </row>
    <row r="24" spans="1:16" x14ac:dyDescent="0.25">
      <c r="A24" t="str">
        <f>Table5[[#This Row],[Client ID]]</f>
        <v>C0023</v>
      </c>
      <c r="B24" s="7">
        <v>46235</v>
      </c>
      <c r="C24" t="str">
        <f>client!B24</f>
        <v>Royal Packaging Group</v>
      </c>
      <c r="D24" t="str">
        <f>Table5[[#This Row],[Contact Person]]</f>
        <v>Vikas Nair</v>
      </c>
      <c r="E24">
        <f>Table5[[#This Row],[Phone]]</f>
        <v>9530231565</v>
      </c>
      <c r="F24" s="34" t="s">
        <v>2324</v>
      </c>
      <c r="G24">
        <f>_xlfn.XLOOKUP(F24,Table6[Service Name],Table6[Unit Price])</f>
        <v>49000</v>
      </c>
      <c r="H24" t="s">
        <v>2482</v>
      </c>
      <c r="M24" s="33" t="s">
        <v>47</v>
      </c>
      <c r="N24" s="2">
        <v>217500</v>
      </c>
    </row>
    <row r="25" spans="1:16" x14ac:dyDescent="0.25">
      <c r="A25" t="str">
        <f>Table5[[#This Row],[Client ID]]</f>
        <v>C0024</v>
      </c>
      <c r="B25" s="7">
        <v>46236</v>
      </c>
      <c r="C25" t="str">
        <f>client!B25</f>
        <v>Everest Digital Pvt Ltd</v>
      </c>
      <c r="D25" t="str">
        <f>Table5[[#This Row],[Contact Person]]</f>
        <v>Amit Reddy</v>
      </c>
      <c r="E25">
        <f>Table5[[#This Row],[Phone]]</f>
        <v>9400023374</v>
      </c>
      <c r="F25" s="35" t="s">
        <v>2326</v>
      </c>
      <c r="G25">
        <f>_xlfn.XLOOKUP(F25,Table6[Service Name],Table6[Unit Price])</f>
        <v>12500</v>
      </c>
      <c r="H25" t="s">
        <v>2481</v>
      </c>
    </row>
    <row r="26" spans="1:16" x14ac:dyDescent="0.25">
      <c r="A26" t="str">
        <f>Table5[[#This Row],[Client ID]]</f>
        <v>C0025</v>
      </c>
      <c r="B26" s="7">
        <v>46237</v>
      </c>
      <c r="C26" t="str">
        <f>client!B26</f>
        <v>Dynamic Digital LLP</v>
      </c>
      <c r="D26" t="str">
        <f>Table5[[#This Row],[Contact Person]]</f>
        <v>Vikas Verma</v>
      </c>
      <c r="E26">
        <f>Table5[[#This Row],[Phone]]</f>
        <v>9343573855</v>
      </c>
      <c r="F26" s="34" t="s">
        <v>2328</v>
      </c>
      <c r="G26">
        <f>_xlfn.XLOOKUP(F26,Table6[Service Name],Table6[Unit Price])</f>
        <v>22500</v>
      </c>
      <c r="H26" t="s">
        <v>61</v>
      </c>
    </row>
    <row r="27" spans="1:16" x14ac:dyDescent="0.25">
      <c r="A27" t="str">
        <f>Table5[[#This Row],[Client ID]]</f>
        <v>C0026</v>
      </c>
      <c r="B27" s="7">
        <v>46238</v>
      </c>
      <c r="C27" t="str">
        <f>client!B27</f>
        <v>Apex Electronics Works</v>
      </c>
      <c r="D27" t="str">
        <f>Table5[[#This Row],[Contact Person]]</f>
        <v>Harsh Verma</v>
      </c>
      <c r="E27">
        <f>Table5[[#This Row],[Phone]]</f>
        <v>9996197331</v>
      </c>
      <c r="F27" s="35" t="s">
        <v>2330</v>
      </c>
      <c r="G27">
        <f>_xlfn.XLOOKUP(F27,Table6[Service Name],Table6[Unit Price])</f>
        <v>19500</v>
      </c>
      <c r="H27" t="s">
        <v>2481</v>
      </c>
    </row>
    <row r="28" spans="1:16" x14ac:dyDescent="0.25">
      <c r="A28" t="str">
        <f>Table5[[#This Row],[Client ID]]</f>
        <v>C0027</v>
      </c>
      <c r="B28" s="7">
        <v>46239</v>
      </c>
      <c r="C28" t="str">
        <f>client!B28</f>
        <v>Silver Manufacturing Works</v>
      </c>
      <c r="D28" t="str">
        <f>Table5[[#This Row],[Contact Person]]</f>
        <v>Priya Reddy</v>
      </c>
      <c r="E28">
        <f>Table5[[#This Row],[Phone]]</f>
        <v>9875053406</v>
      </c>
      <c r="F28" s="34" t="s">
        <v>2332</v>
      </c>
      <c r="G28">
        <f>_xlfn.XLOOKUP(F28,Table6[Service Name],Table6[Unit Price])</f>
        <v>23500</v>
      </c>
      <c r="H28" t="s">
        <v>2482</v>
      </c>
      <c r="M28" s="32" t="s">
        <v>2480</v>
      </c>
      <c r="N28" s="2" t="s">
        <v>2483</v>
      </c>
    </row>
    <row r="29" spans="1:16" x14ac:dyDescent="0.25">
      <c r="A29" t="str">
        <f>Table5[[#This Row],[Client ID]]</f>
        <v>C0028</v>
      </c>
      <c r="B29" s="7">
        <v>46240</v>
      </c>
      <c r="C29" t="str">
        <f>client!B29</f>
        <v>Green Enterprises Pvt Ltd</v>
      </c>
      <c r="D29" t="str">
        <f>Table5[[#This Row],[Contact Person]]</f>
        <v>Karan Yadav</v>
      </c>
      <c r="E29">
        <f>Table5[[#This Row],[Phone]]</f>
        <v>9599669927</v>
      </c>
      <c r="F29" s="35" t="s">
        <v>2334</v>
      </c>
      <c r="G29">
        <f>_xlfn.XLOOKUP(F29,Table6[Service Name],Table6[Unit Price])</f>
        <v>38000</v>
      </c>
      <c r="H29" t="s">
        <v>2481</v>
      </c>
      <c r="M29" s="33" t="s">
        <v>2481</v>
      </c>
      <c r="N29" s="2">
        <v>283500</v>
      </c>
      <c r="P29" s="2">
        <f>N30+N31</f>
        <v>126500</v>
      </c>
    </row>
    <row r="30" spans="1:16" x14ac:dyDescent="0.25">
      <c r="A30" t="str">
        <f>Table5[[#This Row],[Client ID]]</f>
        <v>C0029</v>
      </c>
      <c r="B30" s="7">
        <v>46241</v>
      </c>
      <c r="C30" t="str">
        <f>client!B30</f>
        <v>Titan Analytics Corporation</v>
      </c>
      <c r="D30" t="str">
        <f>Table5[[#This Row],[Contact Person]]</f>
        <v>Amit Sharma</v>
      </c>
      <c r="E30">
        <f>Table5[[#This Row],[Phone]]</f>
        <v>9958303050</v>
      </c>
      <c r="F30" s="34" t="s">
        <v>2336</v>
      </c>
      <c r="G30">
        <f>_xlfn.XLOOKUP(F30,Table6[Service Name],Table6[Unit Price])</f>
        <v>16500</v>
      </c>
      <c r="H30" t="s">
        <v>61</v>
      </c>
      <c r="M30" s="33" t="s">
        <v>61</v>
      </c>
      <c r="N30" s="2">
        <v>69000</v>
      </c>
    </row>
    <row r="31" spans="1:16" x14ac:dyDescent="0.25">
      <c r="A31" t="str">
        <f>Table5[[#This Row],[Client ID]]</f>
        <v>C0030</v>
      </c>
      <c r="B31" s="7">
        <v>46242</v>
      </c>
      <c r="C31" t="str">
        <f>client!B31</f>
        <v>Infinity Consulting Group</v>
      </c>
      <c r="D31" t="str">
        <f>Table5[[#This Row],[Contact Person]]</f>
        <v>Amit Singh</v>
      </c>
      <c r="E31">
        <f>Table5[[#This Row],[Phone]]</f>
        <v>9328470563</v>
      </c>
      <c r="F31" s="35" t="s">
        <v>2338</v>
      </c>
      <c r="G31">
        <f>_xlfn.XLOOKUP(F31,Table6[Service Name],Table6[Unit Price])</f>
        <v>12500</v>
      </c>
      <c r="H31" t="s">
        <v>2481</v>
      </c>
      <c r="M31" s="33" t="s">
        <v>2482</v>
      </c>
      <c r="N31" s="2">
        <v>57500</v>
      </c>
    </row>
    <row r="32" spans="1:16" x14ac:dyDescent="0.25">
      <c r="A32" t="str">
        <f>Table5[[#This Row],[Client ID]]</f>
        <v>C0031</v>
      </c>
      <c r="B32" s="7">
        <v>46243</v>
      </c>
      <c r="C32" t="str">
        <f>client!B32</f>
        <v>NextGen Manufacturing Corporation</v>
      </c>
      <c r="D32" t="str">
        <f>Table5[[#This Row],[Contact Person]]</f>
        <v>Rahul Joshi</v>
      </c>
      <c r="E32">
        <f>Table5[[#This Row],[Phone]]</f>
        <v>9894485254</v>
      </c>
      <c r="F32" s="34" t="s">
        <v>2340</v>
      </c>
      <c r="G32">
        <f>_xlfn.XLOOKUP(F32,Table6[Service Name],Table6[Unit Price])</f>
        <v>45500</v>
      </c>
      <c r="H32" t="s">
        <v>2482</v>
      </c>
      <c r="M32" s="33" t="s">
        <v>47</v>
      </c>
      <c r="N32" s="2">
        <v>410000</v>
      </c>
    </row>
    <row r="33" spans="1:14" x14ac:dyDescent="0.25">
      <c r="A33" t="str">
        <f>Table5[[#This Row],[Client ID]]</f>
        <v>C0032</v>
      </c>
      <c r="B33" s="7">
        <v>46244</v>
      </c>
      <c r="C33" t="str">
        <f>client!B33</f>
        <v>Matrix Enterprises Enterprises</v>
      </c>
      <c r="D33" t="str">
        <f>Table5[[#This Row],[Contact Person]]</f>
        <v>Karan Agarwal</v>
      </c>
      <c r="E33">
        <f>Table5[[#This Row],[Phone]]</f>
        <v>9648195686</v>
      </c>
      <c r="F33" s="35" t="s">
        <v>2343</v>
      </c>
      <c r="G33">
        <f>_xlfn.XLOOKUP(F33,Table6[Service Name],Table6[Unit Price])</f>
        <v>17500</v>
      </c>
      <c r="H33" t="s">
        <v>2481</v>
      </c>
    </row>
    <row r="34" spans="1:14" x14ac:dyDescent="0.25">
      <c r="A34" t="str">
        <f>Table5[[#This Row],[Client ID]]</f>
        <v>C0033</v>
      </c>
      <c r="B34" s="7">
        <v>46245</v>
      </c>
      <c r="C34" t="str">
        <f>client!B34</f>
        <v>Apex Exports Corporation</v>
      </c>
      <c r="D34" t="str">
        <f>Table5[[#This Row],[Contact Person]]</f>
        <v>Rohit Gupta</v>
      </c>
      <c r="E34">
        <f>Table5[[#This Row],[Phone]]</f>
        <v>9608409165</v>
      </c>
      <c r="F34" s="34" t="s">
        <v>2345</v>
      </c>
      <c r="G34">
        <f>_xlfn.XLOOKUP(F34,Table6[Service Name],Table6[Unit Price])</f>
        <v>28000</v>
      </c>
      <c r="H34" t="s">
        <v>61</v>
      </c>
    </row>
    <row r="35" spans="1:14" x14ac:dyDescent="0.25">
      <c r="A35" t="str">
        <f>Table5[[#This Row],[Client ID]]</f>
        <v>C0034</v>
      </c>
      <c r="B35" s="7">
        <v>46246</v>
      </c>
      <c r="C35" t="str">
        <f>client!B35</f>
        <v>Core Automation Enterprises</v>
      </c>
      <c r="D35" t="str">
        <f>Table5[[#This Row],[Contact Person]]</f>
        <v>Arjun Reddy</v>
      </c>
      <c r="E35">
        <f>Table5[[#This Row],[Phone]]</f>
        <v>9933749898</v>
      </c>
      <c r="F35" s="35" t="s">
        <v>2347</v>
      </c>
      <c r="G35">
        <f>_xlfn.XLOOKUP(F35,Table6[Service Name],Table6[Unit Price])</f>
        <v>5000</v>
      </c>
      <c r="H35" t="s">
        <v>2481</v>
      </c>
    </row>
    <row r="36" spans="1:14" x14ac:dyDescent="0.25">
      <c r="A36" t="str">
        <f>Table5[[#This Row],[Client ID]]</f>
        <v>C0035</v>
      </c>
      <c r="B36" s="7">
        <v>46247</v>
      </c>
      <c r="C36" t="str">
        <f>client!B36</f>
        <v>Golden Foods Pvt Ltd</v>
      </c>
      <c r="D36" t="str">
        <f>Table5[[#This Row],[Contact Person]]</f>
        <v>Neha Agarwal</v>
      </c>
      <c r="E36">
        <f>Table5[[#This Row],[Phone]]</f>
        <v>9585520203</v>
      </c>
      <c r="F36" s="34" t="s">
        <v>2349</v>
      </c>
      <c r="G36">
        <f>_xlfn.XLOOKUP(F36,Table6[Service Name],Table6[Unit Price])</f>
        <v>23500</v>
      </c>
      <c r="H36" t="s">
        <v>2482</v>
      </c>
      <c r="J36" s="32" t="s">
        <v>2480</v>
      </c>
      <c r="K36" t="s">
        <v>2483</v>
      </c>
      <c r="M36" s="32" t="s">
        <v>2480</v>
      </c>
      <c r="N36" s="2" t="s">
        <v>2483</v>
      </c>
    </row>
    <row r="37" spans="1:14" x14ac:dyDescent="0.25">
      <c r="A37" t="str">
        <f>Table5[[#This Row],[Client ID]]</f>
        <v>C0036</v>
      </c>
      <c r="B37" s="7">
        <v>46248</v>
      </c>
      <c r="C37" t="str">
        <f>client!B37</f>
        <v>Matrix Packaging Enterprises</v>
      </c>
      <c r="D37" t="str">
        <f>Table5[[#This Row],[Contact Person]]</f>
        <v>Anjali Mishra</v>
      </c>
      <c r="E37">
        <f>Table5[[#This Row],[Phone]]</f>
        <v>9397625709</v>
      </c>
      <c r="F37" s="35" t="s">
        <v>2351</v>
      </c>
      <c r="G37">
        <f>_xlfn.XLOOKUP(F37,Table6[Service Name],Table6[Unit Price])</f>
        <v>27000</v>
      </c>
      <c r="H37" t="s">
        <v>2481</v>
      </c>
      <c r="J37" s="33" t="s">
        <v>2376</v>
      </c>
      <c r="K37">
        <v>14500</v>
      </c>
      <c r="M37" s="33" t="s">
        <v>2394</v>
      </c>
      <c r="N37" s="2">
        <v>45000</v>
      </c>
    </row>
    <row r="38" spans="1:14" x14ac:dyDescent="0.25">
      <c r="A38" t="str">
        <f>Table5[[#This Row],[Client ID]]</f>
        <v>C0037</v>
      </c>
      <c r="B38" s="7">
        <v>46249</v>
      </c>
      <c r="C38" t="str">
        <f>client!B38</f>
        <v>Smart Pharma Enterprises</v>
      </c>
      <c r="D38" t="str">
        <f>Table5[[#This Row],[Contact Person]]</f>
        <v>Pooja Joshi</v>
      </c>
      <c r="E38">
        <f>Table5[[#This Row],[Phone]]</f>
        <v>9700773368</v>
      </c>
      <c r="F38" s="34" t="s">
        <v>2353</v>
      </c>
      <c r="G38">
        <f>_xlfn.XLOOKUP(F38,Table6[Service Name],Table6[Unit Price])</f>
        <v>12500</v>
      </c>
      <c r="H38" t="s">
        <v>61</v>
      </c>
      <c r="J38" s="33" t="s">
        <v>2372</v>
      </c>
      <c r="K38">
        <v>12500</v>
      </c>
      <c r="M38" s="33" t="s">
        <v>2398</v>
      </c>
      <c r="N38" s="2">
        <v>44500</v>
      </c>
    </row>
    <row r="39" spans="1:14" x14ac:dyDescent="0.25">
      <c r="A39" t="str">
        <f>Table5[[#This Row],[Client ID]]</f>
        <v>C0038</v>
      </c>
      <c r="B39" s="7">
        <v>46250</v>
      </c>
      <c r="C39" t="str">
        <f>client!B39</f>
        <v>Zenith Healthcare Solutions</v>
      </c>
      <c r="D39" t="str">
        <f>Table5[[#This Row],[Contact Person]]</f>
        <v>Suresh Verma</v>
      </c>
      <c r="E39">
        <f>Table5[[#This Row],[Phone]]</f>
        <v>9820647678</v>
      </c>
      <c r="F39" s="35" t="s">
        <v>2355</v>
      </c>
      <c r="G39">
        <f>_xlfn.XLOOKUP(F39,Table6[Service Name],Table6[Unit Price])</f>
        <v>44000</v>
      </c>
      <c r="H39" t="s">
        <v>2481</v>
      </c>
      <c r="J39" s="33" t="s">
        <v>2386</v>
      </c>
      <c r="K39">
        <v>10000</v>
      </c>
      <c r="M39" s="33" t="s">
        <v>2374</v>
      </c>
      <c r="N39" s="2">
        <v>49500</v>
      </c>
    </row>
    <row r="40" spans="1:14" x14ac:dyDescent="0.25">
      <c r="A40" t="str">
        <f>Table5[[#This Row],[Client ID]]</f>
        <v>C0039</v>
      </c>
      <c r="B40" s="7">
        <v>46251</v>
      </c>
      <c r="C40" t="str">
        <f>client!B40</f>
        <v>Zenith Exports Corporation</v>
      </c>
      <c r="D40" t="str">
        <f>Table5[[#This Row],[Contact Person]]</f>
        <v>Aditya Bansal</v>
      </c>
      <c r="E40">
        <f>Table5[[#This Row],[Phone]]</f>
        <v>9808945035</v>
      </c>
      <c r="F40" s="34" t="s">
        <v>2357</v>
      </c>
      <c r="G40">
        <f>_xlfn.XLOOKUP(F40,Table6[Service Name],Table6[Unit Price])</f>
        <v>21500</v>
      </c>
      <c r="H40" t="s">
        <v>2482</v>
      </c>
      <c r="J40" s="33" t="s">
        <v>2388</v>
      </c>
      <c r="K40">
        <v>5000</v>
      </c>
      <c r="M40" s="33" t="s">
        <v>2370</v>
      </c>
      <c r="N40" s="2">
        <v>32500</v>
      </c>
    </row>
    <row r="41" spans="1:14" x14ac:dyDescent="0.25">
      <c r="A41" t="str">
        <f>Table5[[#This Row],[Client ID]]</f>
        <v>C0040</v>
      </c>
      <c r="B41" s="7">
        <v>46252</v>
      </c>
      <c r="C41" t="str">
        <f>client!B41</f>
        <v>Royal Steel LLP</v>
      </c>
      <c r="D41" t="str">
        <f>Table5[[#This Row],[Contact Person]]</f>
        <v>Akash Joshi</v>
      </c>
      <c r="E41">
        <f>Table5[[#This Row],[Phone]]</f>
        <v>9623192278</v>
      </c>
      <c r="F41" s="35" t="s">
        <v>2359</v>
      </c>
      <c r="G41">
        <f>_xlfn.XLOOKUP(F41,Table6[Service Name],Table6[Unit Price])</f>
        <v>17000</v>
      </c>
      <c r="H41" t="s">
        <v>2481</v>
      </c>
      <c r="J41" s="33" t="s">
        <v>2392</v>
      </c>
      <c r="K41">
        <v>10500</v>
      </c>
      <c r="M41" s="33" t="s">
        <v>2382</v>
      </c>
      <c r="N41" s="2">
        <v>46000</v>
      </c>
    </row>
    <row r="42" spans="1:14" x14ac:dyDescent="0.25">
      <c r="A42" t="str">
        <f>Table5[[#This Row],[Client ID]]</f>
        <v>C0041</v>
      </c>
      <c r="B42" s="7">
        <v>46253</v>
      </c>
      <c r="C42" t="str">
        <f>client!B42</f>
        <v>Matrix Healthcare Works</v>
      </c>
      <c r="D42" t="str">
        <f>Table5[[#This Row],[Contact Person]]</f>
        <v>Deepak Patel</v>
      </c>
      <c r="E42">
        <f>Table5[[#This Row],[Phone]]</f>
        <v>9482912221</v>
      </c>
      <c r="F42" s="34" t="s">
        <v>27</v>
      </c>
      <c r="G42">
        <f>_xlfn.XLOOKUP(F42,Table6[Service Name],Table6[Unit Price])</f>
        <v>44500</v>
      </c>
      <c r="H42" t="s">
        <v>61</v>
      </c>
      <c r="J42" s="33" t="s">
        <v>47</v>
      </c>
      <c r="K42">
        <v>52500</v>
      </c>
      <c r="M42" s="33" t="s">
        <v>47</v>
      </c>
      <c r="N42" s="2">
        <v>217500</v>
      </c>
    </row>
    <row r="43" spans="1:14" x14ac:dyDescent="0.25">
      <c r="A43" t="str">
        <f>Table5[[#This Row],[Client ID]]</f>
        <v>C0042</v>
      </c>
      <c r="B43" s="7">
        <v>46254</v>
      </c>
      <c r="C43" t="str">
        <f>client!B43</f>
        <v>Titan Services Solutions</v>
      </c>
      <c r="D43" t="str">
        <f>Table5[[#This Row],[Contact Person]]</f>
        <v>Aditya Sharma</v>
      </c>
      <c r="E43">
        <f>Table5[[#This Row],[Phone]]</f>
        <v>9512686830</v>
      </c>
      <c r="F43" s="35" t="s">
        <v>2362</v>
      </c>
      <c r="G43">
        <f>_xlfn.XLOOKUP(F43,Table6[Service Name],Table6[Unit Price])</f>
        <v>37500</v>
      </c>
      <c r="H43" t="s">
        <v>2481</v>
      </c>
    </row>
    <row r="44" spans="1:14" x14ac:dyDescent="0.25">
      <c r="A44" t="str">
        <f>Table5[[#This Row],[Client ID]]</f>
        <v>C0043</v>
      </c>
      <c r="B44" s="7">
        <v>46255</v>
      </c>
      <c r="C44" t="str">
        <f>client!B44</f>
        <v>Zenith Retail LLP</v>
      </c>
      <c r="D44" t="str">
        <f>Table5[[#This Row],[Contact Person]]</f>
        <v>Priya Singh</v>
      </c>
      <c r="E44">
        <f>Table5[[#This Row],[Phone]]</f>
        <v>9391972375</v>
      </c>
      <c r="F44" s="34" t="s">
        <v>2364</v>
      </c>
      <c r="G44">
        <f>_xlfn.XLOOKUP(F44,Table6[Service Name],Table6[Unit Price])</f>
        <v>47000</v>
      </c>
      <c r="H44" t="s">
        <v>2482</v>
      </c>
    </row>
    <row r="45" spans="1:14" x14ac:dyDescent="0.25">
      <c r="A45" t="str">
        <f>Table5[[#This Row],[Client ID]]</f>
        <v>C0044</v>
      </c>
      <c r="B45" s="7">
        <v>46256</v>
      </c>
      <c r="C45" t="str">
        <f>client!B45</f>
        <v>Infinity Infra India</v>
      </c>
      <c r="D45" t="str">
        <f>Table5[[#This Row],[Contact Person]]</f>
        <v>Akash Gupta</v>
      </c>
      <c r="E45">
        <f>Table5[[#This Row],[Phone]]</f>
        <v>9676168666</v>
      </c>
      <c r="F45" s="35" t="s">
        <v>2366</v>
      </c>
      <c r="G45">
        <f>_xlfn.XLOOKUP(F45,Table6[Service Name],Table6[Unit Price])</f>
        <v>8500</v>
      </c>
      <c r="H45" t="s">
        <v>2481</v>
      </c>
    </row>
    <row r="46" spans="1:14" x14ac:dyDescent="0.25">
      <c r="A46" t="str">
        <f>Table5[[#This Row],[Client ID]]</f>
        <v>C0045</v>
      </c>
      <c r="B46" s="7">
        <v>46257</v>
      </c>
      <c r="C46" t="str">
        <f>client!B46</f>
        <v>Alpha Solutions Corporation</v>
      </c>
      <c r="D46" t="str">
        <f>Table5[[#This Row],[Contact Person]]</f>
        <v>Deepak Joshi</v>
      </c>
      <c r="E46">
        <f>Table5[[#This Row],[Phone]]</f>
        <v>9177754046</v>
      </c>
      <c r="F46" s="34" t="s">
        <v>2368</v>
      </c>
      <c r="G46">
        <f>_xlfn.XLOOKUP(F46,Table6[Service Name],Table6[Unit Price])</f>
        <v>15500</v>
      </c>
      <c r="H46" t="s">
        <v>61</v>
      </c>
    </row>
    <row r="47" spans="1:14" x14ac:dyDescent="0.25">
      <c r="A47" t="str">
        <f>Table5[[#This Row],[Client ID]]</f>
        <v>C0046</v>
      </c>
      <c r="B47" s="7">
        <v>46258</v>
      </c>
      <c r="C47" t="str">
        <f>client!B47</f>
        <v>Vertex Packaging Group</v>
      </c>
      <c r="D47" t="str">
        <f>Table5[[#This Row],[Contact Person]]</f>
        <v>Priya Singh</v>
      </c>
      <c r="E47">
        <f>Table5[[#This Row],[Phone]]</f>
        <v>9230650282</v>
      </c>
      <c r="F47" s="35" t="s">
        <v>2370</v>
      </c>
      <c r="G47">
        <f>_xlfn.XLOOKUP(F47,Table6[Service Name],Table6[Unit Price])</f>
        <v>32500</v>
      </c>
      <c r="H47" t="s">
        <v>2481</v>
      </c>
    </row>
    <row r="48" spans="1:14" x14ac:dyDescent="0.25">
      <c r="A48" t="str">
        <f>Table5[[#This Row],[Client ID]]</f>
        <v>C0047</v>
      </c>
      <c r="B48" s="7">
        <v>46259</v>
      </c>
      <c r="C48" t="str">
        <f>client!B48</f>
        <v>Bright Solutions Enterprises</v>
      </c>
      <c r="D48" t="str">
        <f>Table5[[#This Row],[Contact Person]]</f>
        <v>Aditya Patel</v>
      </c>
      <c r="E48">
        <f>Table5[[#This Row],[Phone]]</f>
        <v>9217522609</v>
      </c>
      <c r="F48" s="34" t="s">
        <v>2372</v>
      </c>
      <c r="G48">
        <f>_xlfn.XLOOKUP(F48,Table6[Service Name],Table6[Unit Price])</f>
        <v>12500</v>
      </c>
      <c r="H48" t="s">
        <v>2482</v>
      </c>
    </row>
    <row r="49" spans="1:8" x14ac:dyDescent="0.25">
      <c r="A49" t="str">
        <f>Table5[[#This Row],[Client ID]]</f>
        <v>C0048</v>
      </c>
      <c r="B49" s="7">
        <v>46260</v>
      </c>
      <c r="C49" t="str">
        <f>client!B49</f>
        <v>Pioneer Textiles India</v>
      </c>
      <c r="D49" t="str">
        <f>Table5[[#This Row],[Contact Person]]</f>
        <v>Sneha Reddy</v>
      </c>
      <c r="E49">
        <f>Table5[[#This Row],[Phone]]</f>
        <v>9321052888</v>
      </c>
      <c r="F49" s="35" t="s">
        <v>2374</v>
      </c>
      <c r="G49">
        <f>_xlfn.XLOOKUP(F49,Table6[Service Name],Table6[Unit Price])</f>
        <v>49500</v>
      </c>
      <c r="H49" t="s">
        <v>2481</v>
      </c>
    </row>
    <row r="50" spans="1:8" x14ac:dyDescent="0.25">
      <c r="A50" t="str">
        <f>Table5[[#This Row],[Client ID]]</f>
        <v>C0049</v>
      </c>
      <c r="B50" s="7">
        <v>46261</v>
      </c>
      <c r="C50" t="str">
        <f>client!B50</f>
        <v>Dynamic Tech India</v>
      </c>
      <c r="D50" t="str">
        <f>Table5[[#This Row],[Contact Person]]</f>
        <v>Rahul Sharma</v>
      </c>
      <c r="E50">
        <f>Table5[[#This Row],[Phone]]</f>
        <v>9119793247</v>
      </c>
      <c r="F50" s="34" t="s">
        <v>2376</v>
      </c>
      <c r="G50">
        <f>_xlfn.XLOOKUP(F50,Table6[Service Name],Table6[Unit Price])</f>
        <v>14500</v>
      </c>
      <c r="H50" t="s">
        <v>61</v>
      </c>
    </row>
    <row r="51" spans="1:8" x14ac:dyDescent="0.25">
      <c r="A51" t="str">
        <f>Table5[[#This Row],[Client ID]]</f>
        <v>C0050</v>
      </c>
      <c r="B51" s="7">
        <v>46262</v>
      </c>
      <c r="C51" t="str">
        <f>client!B51</f>
        <v>Sterling Retail Solutions</v>
      </c>
      <c r="D51" t="str">
        <f>Table5[[#This Row],[Contact Person]]</f>
        <v>Neha Bansal</v>
      </c>
      <c r="E51">
        <f>Table5[[#This Row],[Phone]]</f>
        <v>9979308807</v>
      </c>
      <c r="F51" s="35" t="s">
        <v>2378</v>
      </c>
      <c r="G51">
        <f>_xlfn.XLOOKUP(F51,Table6[Service Name],Table6[Unit Price])</f>
        <v>30500</v>
      </c>
      <c r="H51" t="s">
        <v>2481</v>
      </c>
    </row>
    <row r="52" spans="1:8" x14ac:dyDescent="0.25">
      <c r="A52" t="str">
        <f>Table5[[#This Row],[Client ID]]</f>
        <v>C0051</v>
      </c>
      <c r="B52" s="7">
        <v>46263</v>
      </c>
      <c r="C52" t="str">
        <f>client!B52</f>
        <v>Matrix Logistics Group</v>
      </c>
      <c r="D52" t="str">
        <f>Table5[[#This Row],[Contact Person]]</f>
        <v>Vikas Jain</v>
      </c>
      <c r="E52">
        <f>Table5[[#This Row],[Phone]]</f>
        <v>9313271411</v>
      </c>
      <c r="F52" s="34" t="s">
        <v>2380</v>
      </c>
      <c r="G52">
        <f>_xlfn.XLOOKUP(F52,Table6[Service Name],Table6[Unit Price])</f>
        <v>24000</v>
      </c>
      <c r="H52" t="s">
        <v>2482</v>
      </c>
    </row>
    <row r="53" spans="1:8" x14ac:dyDescent="0.25">
      <c r="A53" t="str">
        <f>Table5[[#This Row],[Client ID]]</f>
        <v>C0052</v>
      </c>
      <c r="B53" s="7">
        <v>46264</v>
      </c>
      <c r="C53" t="str">
        <f>client!B53</f>
        <v>Blue Enterprises Pvt Ltd</v>
      </c>
      <c r="D53" t="str">
        <f>Table5[[#This Row],[Contact Person]]</f>
        <v>Priya Bansal</v>
      </c>
      <c r="E53">
        <f>Table5[[#This Row],[Phone]]</f>
        <v>9895523712</v>
      </c>
      <c r="F53" s="35" t="s">
        <v>2382</v>
      </c>
      <c r="G53">
        <f>_xlfn.XLOOKUP(F53,Table6[Service Name],Table6[Unit Price])</f>
        <v>46000</v>
      </c>
      <c r="H53" t="s">
        <v>2481</v>
      </c>
    </row>
    <row r="54" spans="1:8" x14ac:dyDescent="0.25">
      <c r="A54" t="str">
        <f>Table5[[#This Row],[Client ID]]</f>
        <v>C0053</v>
      </c>
      <c r="B54" s="7">
        <v>46265</v>
      </c>
      <c r="C54" t="str">
        <f>client!B54</f>
        <v>Fusion Automation India</v>
      </c>
      <c r="D54" t="str">
        <f>Table5[[#This Row],[Contact Person]]</f>
        <v>Divya Patel</v>
      </c>
      <c r="E54">
        <f>Table5[[#This Row],[Phone]]</f>
        <v>9843765415</v>
      </c>
      <c r="F54" s="34" t="s">
        <v>2384</v>
      </c>
      <c r="G54">
        <f>_xlfn.XLOOKUP(F54,Table6[Service Name],Table6[Unit Price])</f>
        <v>28500</v>
      </c>
      <c r="H54" t="s">
        <v>61</v>
      </c>
    </row>
    <row r="55" spans="1:8" x14ac:dyDescent="0.25">
      <c r="A55" t="str">
        <f>Table5[[#This Row],[Client ID]]</f>
        <v>C0054</v>
      </c>
      <c r="B55" s="7">
        <v>46266</v>
      </c>
      <c r="C55" t="str">
        <f>client!B55</f>
        <v>Alpha Services Pvt Ltd</v>
      </c>
      <c r="D55" t="str">
        <f>Table5[[#This Row],[Contact Person]]</f>
        <v>Pooja Jain</v>
      </c>
      <c r="E55">
        <f>Table5[[#This Row],[Phone]]</f>
        <v>9453181781</v>
      </c>
      <c r="F55" s="35" t="s">
        <v>2386</v>
      </c>
      <c r="G55">
        <f>_xlfn.XLOOKUP(F55,Table6[Service Name],Table6[Unit Price])</f>
        <v>10000</v>
      </c>
      <c r="H55" t="s">
        <v>2481</v>
      </c>
    </row>
    <row r="56" spans="1:8" x14ac:dyDescent="0.25">
      <c r="A56" t="str">
        <f>Table5[[#This Row],[Client ID]]</f>
        <v>C0055</v>
      </c>
      <c r="B56" s="7">
        <v>46267</v>
      </c>
      <c r="C56" t="str">
        <f>client!B56</f>
        <v>Future Digital Corporation</v>
      </c>
      <c r="D56" t="str">
        <f>Table5[[#This Row],[Contact Person]]</f>
        <v>Amit Jain</v>
      </c>
      <c r="E56">
        <f>Table5[[#This Row],[Phone]]</f>
        <v>9509768451</v>
      </c>
      <c r="F56" s="34" t="s">
        <v>2388</v>
      </c>
      <c r="G56">
        <f>_xlfn.XLOOKUP(F56,Table6[Service Name],Table6[Unit Price])</f>
        <v>5000</v>
      </c>
      <c r="H56" t="s">
        <v>2482</v>
      </c>
    </row>
    <row r="57" spans="1:8" x14ac:dyDescent="0.25">
      <c r="A57" t="str">
        <f>Table5[[#This Row],[Client ID]]</f>
        <v>C0056</v>
      </c>
      <c r="B57" s="7">
        <v>46268</v>
      </c>
      <c r="C57" t="str">
        <f>client!B57</f>
        <v>Smart Automation Pvt Ltd</v>
      </c>
      <c r="D57" t="str">
        <f>Table5[[#This Row],[Contact Person]]</f>
        <v>Priya Singh</v>
      </c>
      <c r="E57">
        <f>Table5[[#This Row],[Phone]]</f>
        <v>9977294617</v>
      </c>
      <c r="F57" s="35" t="s">
        <v>2390</v>
      </c>
      <c r="G57">
        <f>_xlfn.XLOOKUP(F57,Table6[Service Name],Table6[Unit Price])</f>
        <v>25500</v>
      </c>
      <c r="H57" t="s">
        <v>2481</v>
      </c>
    </row>
    <row r="58" spans="1:8" x14ac:dyDescent="0.25">
      <c r="A58" t="str">
        <f>Table5[[#This Row],[Client ID]]</f>
        <v>C0057</v>
      </c>
      <c r="B58" s="7">
        <v>46269</v>
      </c>
      <c r="C58" t="str">
        <f>client!B58</f>
        <v>Nova Logistics India</v>
      </c>
      <c r="D58" t="str">
        <f>Table5[[#This Row],[Contact Person]]</f>
        <v>Harsh Patel</v>
      </c>
      <c r="E58">
        <f>Table5[[#This Row],[Phone]]</f>
        <v>9190712619</v>
      </c>
      <c r="F58" s="34" t="s">
        <v>2392</v>
      </c>
      <c r="G58">
        <f>_xlfn.XLOOKUP(F58,Table6[Service Name],Table6[Unit Price])</f>
        <v>10500</v>
      </c>
      <c r="H58" t="s">
        <v>61</v>
      </c>
    </row>
    <row r="59" spans="1:8" x14ac:dyDescent="0.25">
      <c r="A59" t="str">
        <f>Table5[[#This Row],[Client ID]]</f>
        <v>C0058</v>
      </c>
      <c r="B59" s="7">
        <v>46270</v>
      </c>
      <c r="C59" t="str">
        <f>client!B59</f>
        <v>Fusion Exports Works</v>
      </c>
      <c r="D59" t="str">
        <f>Table5[[#This Row],[Contact Person]]</f>
        <v>Kavya Kapoor</v>
      </c>
      <c r="E59">
        <f>Table5[[#This Row],[Phone]]</f>
        <v>9260484838</v>
      </c>
      <c r="F59" s="35" t="s">
        <v>2394</v>
      </c>
      <c r="G59">
        <f>_xlfn.XLOOKUP(F59,Table6[Service Name],Table6[Unit Price])</f>
        <v>45000</v>
      </c>
      <c r="H59" t="s">
        <v>2481</v>
      </c>
    </row>
    <row r="60" spans="1:8" x14ac:dyDescent="0.25">
      <c r="A60" t="str">
        <f>Table5[[#This Row],[Client ID]]</f>
        <v>C0059</v>
      </c>
      <c r="B60" s="7">
        <v>46271</v>
      </c>
      <c r="C60" t="str">
        <f>client!B60</f>
        <v>Infinity Steel Enterprises</v>
      </c>
      <c r="D60" t="str">
        <f>Table5[[#This Row],[Contact Person]]</f>
        <v>Karan Joshi</v>
      </c>
      <c r="E60">
        <f>Table5[[#This Row],[Phone]]</f>
        <v>9662380097</v>
      </c>
      <c r="F60" s="34" t="s">
        <v>2396</v>
      </c>
      <c r="G60">
        <f>_xlfn.XLOOKUP(F60,Table6[Service Name],Table6[Unit Price])</f>
        <v>16000</v>
      </c>
      <c r="H60" t="s">
        <v>2482</v>
      </c>
    </row>
    <row r="61" spans="1:8" x14ac:dyDescent="0.25">
      <c r="A61" t="str">
        <f>Table5[[#This Row],[Client ID]]</f>
        <v>C0060</v>
      </c>
      <c r="B61" s="7">
        <v>46272</v>
      </c>
      <c r="C61" t="str">
        <f>client!B61</f>
        <v>Nova Solutions Corporation</v>
      </c>
      <c r="D61" t="str">
        <f>Table5[[#This Row],[Contact Person]]</f>
        <v>Harsh Jain</v>
      </c>
      <c r="E61">
        <f>Table5[[#This Row],[Phone]]</f>
        <v>9212653207</v>
      </c>
      <c r="F61" s="35" t="s">
        <v>2398</v>
      </c>
      <c r="G61">
        <f>_xlfn.XLOOKUP(F61,Table6[Service Name],Table6[Unit Price])</f>
        <v>44500</v>
      </c>
      <c r="H61" t="s">
        <v>2481</v>
      </c>
    </row>
    <row r="62" spans="1:8" x14ac:dyDescent="0.25">
      <c r="A62" t="str">
        <f>Table5[[#This Row],[Client ID]]</f>
        <v>C0061</v>
      </c>
      <c r="B62" s="7">
        <v>46273</v>
      </c>
      <c r="C62" t="str">
        <f>client!B62</f>
        <v>NextGen Infra Group</v>
      </c>
      <c r="D62" t="str">
        <f>Table5[[#This Row],[Contact Person]]</f>
        <v>Arjun Singh</v>
      </c>
      <c r="E62">
        <f>Table5[[#This Row],[Phone]]</f>
        <v>9103558733</v>
      </c>
      <c r="F62" s="34" t="s">
        <v>2400</v>
      </c>
      <c r="G62">
        <f>_xlfn.XLOOKUP(F62,Table6[Service Name],Table6[Unit Price])</f>
        <v>34000</v>
      </c>
      <c r="H62" t="s">
        <v>61</v>
      </c>
    </row>
    <row r="63" spans="1:8" x14ac:dyDescent="0.25">
      <c r="A63" t="str">
        <f>Table5[[#This Row],[Client ID]]</f>
        <v>C0062</v>
      </c>
      <c r="B63" s="7">
        <v>46274</v>
      </c>
      <c r="C63" t="str">
        <f>client!B63</f>
        <v>Vertex Infra Enterprises</v>
      </c>
      <c r="D63" t="str">
        <f>Table5[[#This Row],[Contact Person]]</f>
        <v>Priya Mishra</v>
      </c>
      <c r="E63">
        <f>Table5[[#This Row],[Phone]]</f>
        <v>9891120442</v>
      </c>
      <c r="F63" s="35" t="s">
        <v>2402</v>
      </c>
      <c r="G63">
        <f>_xlfn.XLOOKUP(F63,Table6[Service Name],Table6[Unit Price])</f>
        <v>59500</v>
      </c>
      <c r="H63" t="s">
        <v>2481</v>
      </c>
    </row>
    <row r="64" spans="1:8" x14ac:dyDescent="0.25">
      <c r="A64" t="str">
        <f>Table5[[#This Row],[Client ID]]</f>
        <v>C0063</v>
      </c>
      <c r="B64" s="7">
        <v>46275</v>
      </c>
      <c r="C64" t="str">
        <f>client!B64</f>
        <v>Future Retail Solutions</v>
      </c>
      <c r="D64" t="str">
        <f>Table5[[#This Row],[Contact Person]]</f>
        <v>Arjun Nair</v>
      </c>
      <c r="E64">
        <f>Table5[[#This Row],[Phone]]</f>
        <v>9510771188</v>
      </c>
      <c r="F64" s="34" t="s">
        <v>2404</v>
      </c>
      <c r="G64">
        <f>_xlfn.XLOOKUP(F64,Table6[Service Name],Table6[Unit Price])</f>
        <v>20500</v>
      </c>
      <c r="H64" t="s">
        <v>2482</v>
      </c>
    </row>
    <row r="65" spans="1:8" x14ac:dyDescent="0.25">
      <c r="A65" t="str">
        <f>Table5[[#This Row],[Client ID]]</f>
        <v>C0064</v>
      </c>
      <c r="B65" s="7">
        <v>46276</v>
      </c>
      <c r="C65" t="str">
        <f>client!B65</f>
        <v>Golden Industries Corporation</v>
      </c>
      <c r="D65" t="str">
        <f>Table5[[#This Row],[Contact Person]]</f>
        <v>Suresh Singh</v>
      </c>
      <c r="E65">
        <f>Table5[[#This Row],[Phone]]</f>
        <v>9799579688</v>
      </c>
      <c r="F65" s="35" t="s">
        <v>2406</v>
      </c>
      <c r="G65">
        <f>_xlfn.XLOOKUP(F65,Table6[Service Name],Table6[Unit Price])</f>
        <v>11500</v>
      </c>
      <c r="H65" t="s">
        <v>2481</v>
      </c>
    </row>
    <row r="66" spans="1:8" x14ac:dyDescent="0.25">
      <c r="A66" t="str">
        <f>Table5[[#This Row],[Client ID]]</f>
        <v>C0065</v>
      </c>
      <c r="B66" s="7">
        <v>46277</v>
      </c>
      <c r="C66" t="str">
        <f>client!B66</f>
        <v>Sterling Solutions Solutions</v>
      </c>
      <c r="D66" t="str">
        <f>Table5[[#This Row],[Contact Person]]</f>
        <v>Pooja Bansal</v>
      </c>
      <c r="E66">
        <f>Table5[[#This Row],[Phone]]</f>
        <v>9206857784</v>
      </c>
      <c r="F66" s="34" t="s">
        <v>2408</v>
      </c>
      <c r="G66">
        <f>_xlfn.XLOOKUP(F66,Table6[Service Name],Table6[Unit Price])</f>
        <v>40000</v>
      </c>
      <c r="H66" t="s">
        <v>61</v>
      </c>
    </row>
    <row r="67" spans="1:8" x14ac:dyDescent="0.25">
      <c r="A67" t="str">
        <f>Table5[[#This Row],[Client ID]]</f>
        <v>C0066</v>
      </c>
      <c r="B67" s="7">
        <v>46278</v>
      </c>
      <c r="C67" t="str">
        <f>client!B67</f>
        <v>Sigma Services Solutions</v>
      </c>
      <c r="D67" t="str">
        <f>Table5[[#This Row],[Contact Person]]</f>
        <v>Riya Reddy</v>
      </c>
      <c r="E67">
        <f>Table5[[#This Row],[Phone]]</f>
        <v>9227241474</v>
      </c>
      <c r="F67" s="35" t="s">
        <v>2410</v>
      </c>
      <c r="G67">
        <f>_xlfn.XLOOKUP(F67,Table6[Service Name],Table6[Unit Price])</f>
        <v>41000</v>
      </c>
      <c r="H67" t="s">
        <v>2481</v>
      </c>
    </row>
    <row r="68" spans="1:8" x14ac:dyDescent="0.25">
      <c r="A68" t="str">
        <f>Table5[[#This Row],[Client ID]]</f>
        <v>C0067</v>
      </c>
      <c r="B68" s="7">
        <v>46279</v>
      </c>
      <c r="C68" t="str">
        <f>client!B68</f>
        <v>Nova Logistics Solutions</v>
      </c>
      <c r="D68" t="str">
        <f>Table5[[#This Row],[Contact Person]]</f>
        <v>Priya Nair</v>
      </c>
      <c r="E68">
        <f>Table5[[#This Row],[Phone]]</f>
        <v>9643977481</v>
      </c>
      <c r="F68" s="34" t="s">
        <v>2412</v>
      </c>
      <c r="G68">
        <f>_xlfn.XLOOKUP(F68,Table6[Service Name],Table6[Unit Price])</f>
        <v>15000</v>
      </c>
      <c r="H68" t="s">
        <v>2482</v>
      </c>
    </row>
    <row r="69" spans="1:8" x14ac:dyDescent="0.25">
      <c r="A69" t="str">
        <f>Table5[[#This Row],[Client ID]]</f>
        <v>C0068</v>
      </c>
      <c r="B69" s="7">
        <v>46280</v>
      </c>
      <c r="C69" t="str">
        <f>client!B69</f>
        <v>Elite Energy LLP</v>
      </c>
      <c r="D69" t="str">
        <f>Table5[[#This Row],[Contact Person]]</f>
        <v>Karan Mishra</v>
      </c>
      <c r="E69">
        <f>Table5[[#This Row],[Phone]]</f>
        <v>9662711277</v>
      </c>
      <c r="F69" s="35" t="s">
        <v>2414</v>
      </c>
      <c r="G69">
        <f>_xlfn.XLOOKUP(F69,Table6[Service Name],Table6[Unit Price])</f>
        <v>14000</v>
      </c>
      <c r="H69" t="s">
        <v>2481</v>
      </c>
    </row>
    <row r="70" spans="1:8" x14ac:dyDescent="0.25">
      <c r="A70" t="str">
        <f>Table5[[#This Row],[Client ID]]</f>
        <v>C0069</v>
      </c>
      <c r="B70" s="7">
        <v>46281</v>
      </c>
      <c r="C70" t="str">
        <f>client!B70</f>
        <v>Matrix Foods LLP</v>
      </c>
      <c r="D70" t="str">
        <f>Table5[[#This Row],[Contact Person]]</f>
        <v>Aditya Jain</v>
      </c>
      <c r="E70">
        <f>Table5[[#This Row],[Phone]]</f>
        <v>9348446255</v>
      </c>
      <c r="F70" s="34" t="s">
        <v>2416</v>
      </c>
      <c r="G70">
        <f>_xlfn.XLOOKUP(F70,Table6[Service Name],Table6[Unit Price])</f>
        <v>33500</v>
      </c>
      <c r="H70" t="s">
        <v>61</v>
      </c>
    </row>
    <row r="71" spans="1:8" x14ac:dyDescent="0.25">
      <c r="A71" t="str">
        <f>Table5[[#This Row],[Client ID]]</f>
        <v>C0070</v>
      </c>
      <c r="B71" s="7">
        <v>46282</v>
      </c>
      <c r="C71" t="str">
        <f>client!B71</f>
        <v>Green Tech Solutions</v>
      </c>
      <c r="D71" t="str">
        <f>Table5[[#This Row],[Contact Person]]</f>
        <v>Nisha Kapoor</v>
      </c>
      <c r="E71">
        <f>Table5[[#This Row],[Phone]]</f>
        <v>9535315694</v>
      </c>
      <c r="F71" s="35" t="s">
        <v>2418</v>
      </c>
      <c r="G71">
        <f>_xlfn.XLOOKUP(F71,Table6[Service Name],Table6[Unit Price])</f>
        <v>14000</v>
      </c>
      <c r="H71" t="s">
        <v>2481</v>
      </c>
    </row>
    <row r="72" spans="1:8" x14ac:dyDescent="0.25">
      <c r="A72" t="str">
        <f>Table5[[#This Row],[Client ID]]</f>
        <v>C0071</v>
      </c>
      <c r="B72" s="7">
        <v>46283</v>
      </c>
      <c r="C72" t="str">
        <f>client!B72</f>
        <v>Fusion Engineering LLP</v>
      </c>
      <c r="D72" t="str">
        <f>Table5[[#This Row],[Contact Person]]</f>
        <v>Suresh Sharma</v>
      </c>
      <c r="E72">
        <f>Table5[[#This Row],[Phone]]</f>
        <v>9448480313</v>
      </c>
      <c r="F72" s="34" t="s">
        <v>2420</v>
      </c>
      <c r="G72">
        <f>_xlfn.XLOOKUP(F72,Table6[Service Name],Table6[Unit Price])</f>
        <v>49000</v>
      </c>
      <c r="H72" t="s">
        <v>2482</v>
      </c>
    </row>
    <row r="73" spans="1:8" x14ac:dyDescent="0.25">
      <c r="A73" t="str">
        <f>Table5[[#This Row],[Client ID]]</f>
        <v>C0072</v>
      </c>
      <c r="B73" s="7">
        <v>46284</v>
      </c>
      <c r="C73" t="str">
        <f>client!B73</f>
        <v>Apex Steel India</v>
      </c>
      <c r="D73" t="str">
        <f>Table5[[#This Row],[Contact Person]]</f>
        <v>Pooja Jain</v>
      </c>
      <c r="E73">
        <f>Table5[[#This Row],[Phone]]</f>
        <v>9169768902</v>
      </c>
      <c r="F73" s="35" t="s">
        <v>2422</v>
      </c>
      <c r="G73">
        <f>_xlfn.XLOOKUP(F73,Table6[Service Name],Table6[Unit Price])</f>
        <v>50500</v>
      </c>
      <c r="H73" t="s">
        <v>2481</v>
      </c>
    </row>
    <row r="74" spans="1:8" x14ac:dyDescent="0.25">
      <c r="A74" t="str">
        <f>Table5[[#This Row],[Client ID]]</f>
        <v>C0073</v>
      </c>
      <c r="B74" s="7">
        <v>46285</v>
      </c>
      <c r="C74" t="str">
        <f>client!B74</f>
        <v>Alpha Solutions India</v>
      </c>
      <c r="D74" t="str">
        <f>Table5[[#This Row],[Contact Person]]</f>
        <v>Neha Sharma</v>
      </c>
      <c r="E74">
        <f>Table5[[#This Row],[Phone]]</f>
        <v>9996226520</v>
      </c>
      <c r="F74" s="34" t="s">
        <v>2424</v>
      </c>
      <c r="G74">
        <f>_xlfn.XLOOKUP(F74,Table6[Service Name],Table6[Unit Price])</f>
        <v>41000</v>
      </c>
      <c r="H74" t="s">
        <v>61</v>
      </c>
    </row>
    <row r="75" spans="1:8" x14ac:dyDescent="0.25">
      <c r="A75" t="str">
        <f>Table5[[#This Row],[Client ID]]</f>
        <v>C0074</v>
      </c>
      <c r="B75" s="7">
        <v>46286</v>
      </c>
      <c r="C75" t="str">
        <f>client!B75</f>
        <v>Infinity Automation Works</v>
      </c>
      <c r="D75" t="str">
        <f>Table5[[#This Row],[Contact Person]]</f>
        <v>Anjali Reddy</v>
      </c>
      <c r="E75">
        <f>Table5[[#This Row],[Phone]]</f>
        <v>9500880736</v>
      </c>
      <c r="F75" s="35" t="s">
        <v>2426</v>
      </c>
      <c r="G75">
        <f>_xlfn.XLOOKUP(F75,Table6[Service Name],Table6[Unit Price])</f>
        <v>5000</v>
      </c>
      <c r="H75" t="s">
        <v>2481</v>
      </c>
    </row>
    <row r="76" spans="1:8" x14ac:dyDescent="0.25">
      <c r="A76" t="str">
        <f>Table5[[#This Row],[Client ID]]</f>
        <v>C0075</v>
      </c>
      <c r="B76" s="7">
        <v>46287</v>
      </c>
      <c r="C76" t="str">
        <f>client!B76</f>
        <v>Titan Consulting LLP</v>
      </c>
      <c r="D76" t="str">
        <f>Table5[[#This Row],[Contact Person]]</f>
        <v>Rahul Joshi</v>
      </c>
      <c r="E76">
        <f>Table5[[#This Row],[Phone]]</f>
        <v>9886357475</v>
      </c>
      <c r="F76" s="34" t="s">
        <v>2428</v>
      </c>
      <c r="G76">
        <f>_xlfn.XLOOKUP(F76,Table6[Service Name],Table6[Unit Price])</f>
        <v>44000</v>
      </c>
      <c r="H76" t="s">
        <v>2482</v>
      </c>
    </row>
    <row r="77" spans="1:8" x14ac:dyDescent="0.25">
      <c r="A77" t="str">
        <f>Table5[[#This Row],[Client ID]]</f>
        <v>C0076</v>
      </c>
      <c r="B77" s="7">
        <v>46288</v>
      </c>
      <c r="C77" t="str">
        <f>client!B77</f>
        <v>Blue Analytics Corporation</v>
      </c>
      <c r="D77" t="str">
        <f>Table5[[#This Row],[Contact Person]]</f>
        <v>Rohit Kapoor</v>
      </c>
      <c r="E77">
        <f>Table5[[#This Row],[Phone]]</f>
        <v>9545459676</v>
      </c>
      <c r="F77" s="35" t="s">
        <v>2430</v>
      </c>
      <c r="G77">
        <f>_xlfn.XLOOKUP(F77,Table6[Service Name],Table6[Unit Price])</f>
        <v>39500</v>
      </c>
      <c r="H77" t="s">
        <v>2481</v>
      </c>
    </row>
    <row r="78" spans="1:8" x14ac:dyDescent="0.25">
      <c r="A78" t="str">
        <f>Table5[[#This Row],[Client ID]]</f>
        <v>C0077</v>
      </c>
      <c r="B78" s="7">
        <v>46289</v>
      </c>
      <c r="C78" t="str">
        <f>client!B78</f>
        <v>Rapid Textiles Group</v>
      </c>
      <c r="D78" t="str">
        <f>Table5[[#This Row],[Contact Person]]</f>
        <v>Nitin Kapoor</v>
      </c>
      <c r="E78">
        <f>Table5[[#This Row],[Phone]]</f>
        <v>9698419618</v>
      </c>
      <c r="F78" s="34" t="s">
        <v>2432</v>
      </c>
      <c r="G78">
        <f>_xlfn.XLOOKUP(F78,Table6[Service Name],Table6[Unit Price])</f>
        <v>49500</v>
      </c>
      <c r="H78" t="s">
        <v>61</v>
      </c>
    </row>
    <row r="79" spans="1:8" x14ac:dyDescent="0.25">
      <c r="A79" t="str">
        <f>Table5[[#This Row],[Client ID]]</f>
        <v>C0078</v>
      </c>
      <c r="B79" s="7">
        <v>46290</v>
      </c>
      <c r="C79" t="str">
        <f>client!B79</f>
        <v>Elite Consulting Enterprises</v>
      </c>
      <c r="D79" t="str">
        <f>Table5[[#This Row],[Contact Person]]</f>
        <v>Arjun Agarwal</v>
      </c>
      <c r="E79">
        <f>Table5[[#This Row],[Phone]]</f>
        <v>9336250319</v>
      </c>
      <c r="F79" s="35" t="s">
        <v>2434</v>
      </c>
      <c r="G79">
        <f>_xlfn.XLOOKUP(F79,Table6[Service Name],Table6[Unit Price])</f>
        <v>13500</v>
      </c>
      <c r="H79" t="s">
        <v>2481</v>
      </c>
    </row>
    <row r="80" spans="1:8" x14ac:dyDescent="0.25">
      <c r="A80" t="str">
        <f>Table5[[#This Row],[Client ID]]</f>
        <v>C0079</v>
      </c>
      <c r="B80" s="7">
        <v>46291</v>
      </c>
      <c r="C80" t="str">
        <f>client!B80</f>
        <v>Bright Analytics Group</v>
      </c>
      <c r="D80" t="str">
        <f>Table5[[#This Row],[Contact Person]]</f>
        <v>Vikas Verma</v>
      </c>
      <c r="E80">
        <f>Table5[[#This Row],[Phone]]</f>
        <v>9287577427</v>
      </c>
      <c r="F80" s="34" t="s">
        <v>2436</v>
      </c>
      <c r="G80">
        <f>_xlfn.XLOOKUP(F80,Table6[Service Name],Table6[Unit Price])</f>
        <v>3000</v>
      </c>
      <c r="H80" t="s">
        <v>2482</v>
      </c>
    </row>
    <row r="81" spans="1:8" x14ac:dyDescent="0.25">
      <c r="A81" t="str">
        <f>Table5[[#This Row],[Client ID]]</f>
        <v>C0080</v>
      </c>
      <c r="B81" s="7">
        <v>46292</v>
      </c>
      <c r="C81" t="str">
        <f>client!B81</f>
        <v>Metro Foods Group</v>
      </c>
      <c r="D81" t="str">
        <f>Table5[[#This Row],[Contact Person]]</f>
        <v>Amit Mishra</v>
      </c>
      <c r="E81">
        <f>Table5[[#This Row],[Phone]]</f>
        <v>9543220928</v>
      </c>
      <c r="F81" s="35" t="s">
        <v>2438</v>
      </c>
      <c r="G81">
        <f>_xlfn.XLOOKUP(F81,Table6[Service Name],Table6[Unit Price])</f>
        <v>12500</v>
      </c>
      <c r="H81" t="s">
        <v>2481</v>
      </c>
    </row>
    <row r="82" spans="1:8" x14ac:dyDescent="0.25">
      <c r="A82" t="str">
        <f>Table5[[#This Row],[Client ID]]</f>
        <v>C0081</v>
      </c>
      <c r="B82" s="7">
        <v>46293</v>
      </c>
      <c r="C82" t="str">
        <f>client!B82</f>
        <v>Alpha Engineering Pvt Ltd</v>
      </c>
      <c r="D82" t="str">
        <f>Table5[[#This Row],[Contact Person]]</f>
        <v>Arjun Singh</v>
      </c>
      <c r="E82">
        <f>Table5[[#This Row],[Phone]]</f>
        <v>9716629275</v>
      </c>
      <c r="F82" s="34" t="s">
        <v>2440</v>
      </c>
      <c r="G82">
        <f>_xlfn.XLOOKUP(F82,Table6[Service Name],Table6[Unit Price])</f>
        <v>59000</v>
      </c>
      <c r="H82" t="s">
        <v>61</v>
      </c>
    </row>
    <row r="83" spans="1:8" x14ac:dyDescent="0.25">
      <c r="A83" t="str">
        <f>Table5[[#This Row],[Client ID]]</f>
        <v>C0082</v>
      </c>
      <c r="B83" s="7">
        <v>46294</v>
      </c>
      <c r="C83" t="str">
        <f>client!B83</f>
        <v>Vertex Foods Group</v>
      </c>
      <c r="D83" t="str">
        <f>Table5[[#This Row],[Contact Person]]</f>
        <v>Akash Mehta</v>
      </c>
      <c r="E83">
        <f>Table5[[#This Row],[Phone]]</f>
        <v>9793413569</v>
      </c>
      <c r="F83" s="35" t="s">
        <v>2442</v>
      </c>
      <c r="G83">
        <f>_xlfn.XLOOKUP(F83,Table6[Service Name],Table6[Unit Price])</f>
        <v>34500</v>
      </c>
      <c r="H83" t="s">
        <v>2481</v>
      </c>
    </row>
    <row r="84" spans="1:8" x14ac:dyDescent="0.25">
      <c r="A84" t="str">
        <f>Table5[[#This Row],[Client ID]]</f>
        <v>C0083</v>
      </c>
      <c r="B84" s="7">
        <v>46295</v>
      </c>
      <c r="C84" t="str">
        <f>client!B84</f>
        <v>Prime Manufacturing Solutions</v>
      </c>
      <c r="D84" t="str">
        <f>Table5[[#This Row],[Contact Person]]</f>
        <v>Ankit Kapoor</v>
      </c>
      <c r="E84">
        <f>Table5[[#This Row],[Phone]]</f>
        <v>9100191870</v>
      </c>
      <c r="F84" s="34" t="s">
        <v>2444</v>
      </c>
      <c r="G84">
        <f>_xlfn.XLOOKUP(F84,Table6[Service Name],Table6[Unit Price])</f>
        <v>32500</v>
      </c>
      <c r="H84" t="s">
        <v>2482</v>
      </c>
    </row>
    <row r="85" spans="1:8" x14ac:dyDescent="0.25">
      <c r="A85" t="str">
        <f>Table5[[#This Row],[Client ID]]</f>
        <v>C0084</v>
      </c>
      <c r="B85" s="7">
        <v>46296</v>
      </c>
      <c r="C85" t="str">
        <f>client!B85</f>
        <v>Smart Traders Group</v>
      </c>
      <c r="D85" t="str">
        <f>Table5[[#This Row],[Contact Person]]</f>
        <v>Karan Gupta</v>
      </c>
      <c r="E85">
        <f>Table5[[#This Row],[Phone]]</f>
        <v>9660885798</v>
      </c>
      <c r="F85" s="35" t="s">
        <v>2446</v>
      </c>
      <c r="G85">
        <f>_xlfn.XLOOKUP(F85,Table6[Service Name],Table6[Unit Price])</f>
        <v>37000</v>
      </c>
      <c r="H85" t="s">
        <v>2481</v>
      </c>
    </row>
    <row r="86" spans="1:8" x14ac:dyDescent="0.25">
      <c r="A86" t="str">
        <f>Table5[[#This Row],[Client ID]]</f>
        <v>C0085</v>
      </c>
      <c r="B86" s="7">
        <v>46297</v>
      </c>
      <c r="C86" t="str">
        <f>client!B86</f>
        <v>Prime Tech Corporation</v>
      </c>
      <c r="D86" t="str">
        <f>Table5[[#This Row],[Contact Person]]</f>
        <v>Vikas Yadav</v>
      </c>
      <c r="E86">
        <f>Table5[[#This Row],[Phone]]</f>
        <v>9140363815</v>
      </c>
      <c r="F86" s="34" t="s">
        <v>2448</v>
      </c>
      <c r="G86">
        <f>_xlfn.XLOOKUP(F86,Table6[Service Name],Table6[Unit Price])</f>
        <v>15500</v>
      </c>
      <c r="H86" t="s">
        <v>61</v>
      </c>
    </row>
    <row r="87" spans="1:8" x14ac:dyDescent="0.25">
      <c r="A87" t="str">
        <f>Table5[[#This Row],[Client ID]]</f>
        <v>C0086</v>
      </c>
      <c r="B87" s="7">
        <v>46298</v>
      </c>
      <c r="C87" t="str">
        <f>client!B87</f>
        <v>Core Textiles Technologies</v>
      </c>
      <c r="D87" t="str">
        <f>Table5[[#This Row],[Contact Person]]</f>
        <v>Aditya Reddy</v>
      </c>
      <c r="E87">
        <f>Table5[[#This Row],[Phone]]</f>
        <v>9220401557</v>
      </c>
      <c r="F87" s="35" t="s">
        <v>2450</v>
      </c>
      <c r="G87">
        <f>_xlfn.XLOOKUP(F87,Table6[Service Name],Table6[Unit Price])</f>
        <v>16000</v>
      </c>
      <c r="H87" t="s">
        <v>2481</v>
      </c>
    </row>
    <row r="88" spans="1:8" x14ac:dyDescent="0.25">
      <c r="A88" t="str">
        <f>Table5[[#This Row],[Client ID]]</f>
        <v>C0087</v>
      </c>
      <c r="B88" s="7">
        <v>46299</v>
      </c>
      <c r="C88" t="str">
        <f>client!B88</f>
        <v>Golden Healthcare India</v>
      </c>
      <c r="D88" t="str">
        <f>Table5[[#This Row],[Contact Person]]</f>
        <v>Vikas Reddy</v>
      </c>
      <c r="E88">
        <f>Table5[[#This Row],[Phone]]</f>
        <v>9745384230</v>
      </c>
      <c r="F88" s="34" t="s">
        <v>2452</v>
      </c>
      <c r="G88">
        <f>_xlfn.XLOOKUP(F88,Table6[Service Name],Table6[Unit Price])</f>
        <v>35000</v>
      </c>
      <c r="H88" t="s">
        <v>2482</v>
      </c>
    </row>
    <row r="89" spans="1:8" x14ac:dyDescent="0.25">
      <c r="A89" t="str">
        <f>Table5[[#This Row],[Client ID]]</f>
        <v>C0088</v>
      </c>
      <c r="B89" s="7">
        <v>46300</v>
      </c>
      <c r="C89" t="str">
        <f>client!B89</f>
        <v>Alpha Engineering Group</v>
      </c>
      <c r="D89" t="str">
        <f>Table5[[#This Row],[Contact Person]]</f>
        <v>Arjun Agarwal</v>
      </c>
      <c r="E89">
        <f>Table5[[#This Row],[Phone]]</f>
        <v>9352080325</v>
      </c>
      <c r="F89" s="35" t="s">
        <v>2454</v>
      </c>
      <c r="G89">
        <f>_xlfn.XLOOKUP(F89,Table6[Service Name],Table6[Unit Price])</f>
        <v>9500</v>
      </c>
      <c r="H89" t="s">
        <v>2481</v>
      </c>
    </row>
    <row r="90" spans="1:8" x14ac:dyDescent="0.25">
      <c r="A90" t="str">
        <f>Table5[[#This Row],[Client ID]]</f>
        <v>C0089</v>
      </c>
      <c r="B90" s="7">
        <v>46301</v>
      </c>
      <c r="C90" t="str">
        <f>client!B90</f>
        <v>Blue Tech Group</v>
      </c>
      <c r="D90" t="str">
        <f>Table5[[#This Row],[Contact Person]]</f>
        <v>Arjun Joshi</v>
      </c>
      <c r="E90">
        <f>Table5[[#This Row],[Phone]]</f>
        <v>9824199412</v>
      </c>
      <c r="F90" s="34" t="s">
        <v>2456</v>
      </c>
      <c r="G90">
        <f>_xlfn.XLOOKUP(F90,Table6[Service Name],Table6[Unit Price])</f>
        <v>16000</v>
      </c>
      <c r="H90" t="s">
        <v>61</v>
      </c>
    </row>
    <row r="91" spans="1:8" x14ac:dyDescent="0.25">
      <c r="A91" t="str">
        <f>Table5[[#This Row],[Client ID]]</f>
        <v>C0090</v>
      </c>
      <c r="B91" s="7">
        <v>46302</v>
      </c>
      <c r="C91" t="str">
        <f>client!B91</f>
        <v>Infinity Digital Group</v>
      </c>
      <c r="D91" t="str">
        <f>Table5[[#This Row],[Contact Person]]</f>
        <v>Arjun Sharma</v>
      </c>
      <c r="E91">
        <f>Table5[[#This Row],[Phone]]</f>
        <v>9847134030</v>
      </c>
      <c r="F91" s="35" t="s">
        <v>2458</v>
      </c>
      <c r="G91">
        <f>_xlfn.XLOOKUP(F91,Table6[Service Name],Table6[Unit Price])</f>
        <v>51000</v>
      </c>
      <c r="H91" t="s">
        <v>2481</v>
      </c>
    </row>
    <row r="92" spans="1:8" x14ac:dyDescent="0.25">
      <c r="A92" t="str">
        <f>Table5[[#This Row],[Client ID]]</f>
        <v>C0091</v>
      </c>
      <c r="B92" s="7">
        <v>46303</v>
      </c>
      <c r="C92" t="str">
        <f>client!B92</f>
        <v>Golden Tech India</v>
      </c>
      <c r="D92" t="str">
        <f>Table5[[#This Row],[Contact Person]]</f>
        <v>Kavya Nair</v>
      </c>
      <c r="E92">
        <f>Table5[[#This Row],[Phone]]</f>
        <v>9642109043</v>
      </c>
      <c r="F92" s="34" t="s">
        <v>2460</v>
      </c>
      <c r="G92">
        <f>_xlfn.XLOOKUP(F92,Table6[Service Name],Table6[Unit Price])</f>
        <v>4500</v>
      </c>
      <c r="H92" t="s">
        <v>2482</v>
      </c>
    </row>
    <row r="93" spans="1:8" x14ac:dyDescent="0.25">
      <c r="A93" t="str">
        <f>Table5[[#This Row],[Client ID]]</f>
        <v>C0092</v>
      </c>
      <c r="B93" s="7">
        <v>46304</v>
      </c>
      <c r="C93" t="str">
        <f>client!B93</f>
        <v>Golden Retail Solutions</v>
      </c>
      <c r="D93" t="str">
        <f>Table5[[#This Row],[Contact Person]]</f>
        <v>Vikas Singh</v>
      </c>
      <c r="E93">
        <f>Table5[[#This Row],[Phone]]</f>
        <v>9916549236</v>
      </c>
      <c r="F93" s="35" t="s">
        <v>2462</v>
      </c>
      <c r="G93">
        <f>_xlfn.XLOOKUP(F93,Table6[Service Name],Table6[Unit Price])</f>
        <v>36000</v>
      </c>
      <c r="H93" t="s">
        <v>2481</v>
      </c>
    </row>
    <row r="94" spans="1:8" x14ac:dyDescent="0.25">
      <c r="A94" t="str">
        <f>Table5[[#This Row],[Client ID]]</f>
        <v>C0093</v>
      </c>
      <c r="B94" s="7">
        <v>46305</v>
      </c>
      <c r="C94" t="str">
        <f>client!B94</f>
        <v>Everest Manufacturing Pvt Ltd</v>
      </c>
      <c r="D94" t="str">
        <f>Table5[[#This Row],[Contact Person]]</f>
        <v>Divya Gupta</v>
      </c>
      <c r="E94">
        <f>Table5[[#This Row],[Phone]]</f>
        <v>9522474439</v>
      </c>
      <c r="F94" s="34" t="s">
        <v>2464</v>
      </c>
      <c r="G94">
        <f>_xlfn.XLOOKUP(F94,Table6[Service Name],Table6[Unit Price])</f>
        <v>59500</v>
      </c>
      <c r="H94" t="s">
        <v>61</v>
      </c>
    </row>
    <row r="95" spans="1:8" x14ac:dyDescent="0.25">
      <c r="A95" t="str">
        <f>Table5[[#This Row],[Client ID]]</f>
        <v>C0094</v>
      </c>
      <c r="B95" s="7">
        <v>46306</v>
      </c>
      <c r="C95" t="str">
        <f>client!B95</f>
        <v>Blue Pharma Pvt Ltd</v>
      </c>
      <c r="D95" t="str">
        <f>Table5[[#This Row],[Contact Person]]</f>
        <v>Rohit Mehta</v>
      </c>
      <c r="E95">
        <f>Table5[[#This Row],[Phone]]</f>
        <v>9582799376</v>
      </c>
      <c r="F95" s="35" t="s">
        <v>2466</v>
      </c>
      <c r="G95">
        <f>_xlfn.XLOOKUP(F95,Table6[Service Name],Table6[Unit Price])</f>
        <v>16500</v>
      </c>
      <c r="H95" t="s">
        <v>2481</v>
      </c>
    </row>
    <row r="96" spans="1:8" x14ac:dyDescent="0.25">
      <c r="A96" t="str">
        <f>Table5[[#This Row],[Client ID]]</f>
        <v>C0095</v>
      </c>
      <c r="B96" s="7">
        <v>46307</v>
      </c>
      <c r="C96" t="str">
        <f>client!B96</f>
        <v>Green Engineering Group</v>
      </c>
      <c r="D96" t="str">
        <f>Table5[[#This Row],[Contact Person]]</f>
        <v>Rohit Bansal</v>
      </c>
      <c r="E96">
        <f>Table5[[#This Row],[Phone]]</f>
        <v>9663497104</v>
      </c>
      <c r="F96" s="34" t="s">
        <v>2468</v>
      </c>
      <c r="G96">
        <f>_xlfn.XLOOKUP(F96,Table6[Service Name],Table6[Unit Price])</f>
        <v>52500</v>
      </c>
      <c r="H96" t="s">
        <v>2482</v>
      </c>
    </row>
    <row r="97" spans="1:8" x14ac:dyDescent="0.25">
      <c r="A97" t="str">
        <f>Table5[[#This Row],[Client ID]]</f>
        <v>C0096</v>
      </c>
      <c r="B97" s="7">
        <v>46308</v>
      </c>
      <c r="C97" t="str">
        <f>client!B97</f>
        <v>Metro Engineering Solutions</v>
      </c>
      <c r="D97" t="str">
        <f>Table5[[#This Row],[Contact Person]]</f>
        <v>Rohit Verma</v>
      </c>
      <c r="E97">
        <f>Table5[[#This Row],[Phone]]</f>
        <v>9103082418</v>
      </c>
      <c r="F97" s="35" t="s">
        <v>2470</v>
      </c>
      <c r="G97">
        <f>_xlfn.XLOOKUP(F97,Table6[Service Name],Table6[Unit Price])</f>
        <v>7500</v>
      </c>
      <c r="H97" t="s">
        <v>2481</v>
      </c>
    </row>
    <row r="98" spans="1:8" x14ac:dyDescent="0.25">
      <c r="A98" t="str">
        <f>Table5[[#This Row],[Client ID]]</f>
        <v>C0097</v>
      </c>
      <c r="B98" s="7">
        <v>46309</v>
      </c>
      <c r="C98" t="str">
        <f>client!B98</f>
        <v>Zenith Analytics Group</v>
      </c>
      <c r="D98" t="str">
        <f>Table5[[#This Row],[Contact Person]]</f>
        <v>Akash Jain</v>
      </c>
      <c r="E98">
        <f>Table5[[#This Row],[Phone]]</f>
        <v>9925419790</v>
      </c>
      <c r="F98" s="34" t="s">
        <v>2472</v>
      </c>
      <c r="G98">
        <f>_xlfn.XLOOKUP(F98,Table6[Service Name],Table6[Unit Price])</f>
        <v>5500</v>
      </c>
      <c r="H98" t="s">
        <v>61</v>
      </c>
    </row>
    <row r="99" spans="1:8" x14ac:dyDescent="0.25">
      <c r="A99" t="str">
        <f>Table5[[#This Row],[Client ID]]</f>
        <v>C0098</v>
      </c>
      <c r="B99" s="7">
        <v>46310</v>
      </c>
      <c r="C99" t="str">
        <f>client!B99</f>
        <v>Sterling Consulting Works</v>
      </c>
      <c r="D99" t="str">
        <f>Table5[[#This Row],[Contact Person]]</f>
        <v>Varun Joshi</v>
      </c>
      <c r="E99">
        <f>Table5[[#This Row],[Phone]]</f>
        <v>9579261983</v>
      </c>
      <c r="F99" s="35" t="s">
        <v>2474</v>
      </c>
      <c r="G99">
        <f>_xlfn.XLOOKUP(F99,Table6[Service Name],Table6[Unit Price])</f>
        <v>24500</v>
      </c>
      <c r="H99" t="s">
        <v>2481</v>
      </c>
    </row>
    <row r="100" spans="1:8" x14ac:dyDescent="0.25">
      <c r="A100" t="str">
        <f>Table5[[#This Row],[Client ID]]</f>
        <v>C0099</v>
      </c>
      <c r="B100" s="7">
        <v>46311</v>
      </c>
      <c r="C100" t="str">
        <f>client!B100</f>
        <v>Vision Retail Technologies</v>
      </c>
      <c r="D100" t="str">
        <f>Table5[[#This Row],[Contact Person]]</f>
        <v>Rahul Mehta</v>
      </c>
      <c r="E100">
        <f>Table5[[#This Row],[Phone]]</f>
        <v>9137424614</v>
      </c>
      <c r="F100" s="34" t="s">
        <v>2476</v>
      </c>
      <c r="G100">
        <f>_xlfn.XLOOKUP(F100,Table6[Service Name],Table6[Unit Price])</f>
        <v>14500</v>
      </c>
      <c r="H100" t="s">
        <v>2482</v>
      </c>
    </row>
    <row r="101" spans="1:8" x14ac:dyDescent="0.25">
      <c r="A101" t="str">
        <f>Table5[[#This Row],[Client ID]]</f>
        <v>C0100</v>
      </c>
      <c r="B101" s="7">
        <v>46312</v>
      </c>
      <c r="C101" t="str">
        <f>client!B101</f>
        <v>Elite Packaging Works</v>
      </c>
      <c r="D101" t="str">
        <f>Table5[[#This Row],[Contact Person]]</f>
        <v>Meera Singh</v>
      </c>
      <c r="E101">
        <f>Table5[[#This Row],[Phone]]</f>
        <v>9459672275</v>
      </c>
      <c r="F101" s="35" t="s">
        <v>2478</v>
      </c>
      <c r="G101">
        <f>_xlfn.XLOOKUP(F101,Table6[Service Name],Table6[Unit Price])</f>
        <v>53000</v>
      </c>
      <c r="H101" t="s">
        <v>2481</v>
      </c>
    </row>
    <row r="102" spans="1:8" x14ac:dyDescent="0.25">
      <c r="A102" t="str">
        <f>Table5[[#This Row],[Client ID]]</f>
        <v>C0101</v>
      </c>
      <c r="B102" s="7">
        <v>46313</v>
      </c>
      <c r="C102" t="str">
        <f>client!B102</f>
        <v>Pioneer Tech LLP</v>
      </c>
      <c r="D102" t="str">
        <f>Table5[[#This Row],[Contact Person]]</f>
        <v>Amit Nair</v>
      </c>
      <c r="E102">
        <f>Table5[[#This Row],[Phone]]</f>
        <v>9351111984</v>
      </c>
      <c r="F102" s="34" t="s">
        <v>30</v>
      </c>
      <c r="G102">
        <f>_xlfn.XLOOKUP(F102,Table6[Service Name],Table6[Unit Price])</f>
        <v>6000</v>
      </c>
      <c r="H102" t="s">
        <v>61</v>
      </c>
    </row>
    <row r="103" spans="1:8" x14ac:dyDescent="0.25">
      <c r="A103" t="str">
        <f>Table5[[#This Row],[Client ID]]</f>
        <v>C0102</v>
      </c>
      <c r="B103" s="7">
        <v>46314</v>
      </c>
      <c r="C103" t="str">
        <f>client!B103</f>
        <v>Infinity Electronics Corporation</v>
      </c>
      <c r="D103" t="str">
        <f>Table5[[#This Row],[Contact Person]]</f>
        <v>Arjun Gupta</v>
      </c>
      <c r="E103">
        <f>Table5[[#This Row],[Phone]]</f>
        <v>9109347112</v>
      </c>
      <c r="F103" s="35" t="s">
        <v>2283</v>
      </c>
      <c r="G103">
        <f>_xlfn.XLOOKUP(F103,Table6[Service Name],Table6[Unit Price])</f>
        <v>29500</v>
      </c>
      <c r="H103" t="s">
        <v>2481</v>
      </c>
    </row>
    <row r="104" spans="1:8" x14ac:dyDescent="0.25">
      <c r="A104" t="str">
        <f>Table5[[#This Row],[Client ID]]</f>
        <v>C0103</v>
      </c>
      <c r="B104" s="7">
        <v>46315</v>
      </c>
      <c r="C104" t="str">
        <f>client!B104</f>
        <v>Summit Services Works</v>
      </c>
      <c r="D104" t="str">
        <f>Table5[[#This Row],[Contact Person]]</f>
        <v>Divya Verma</v>
      </c>
      <c r="E104">
        <f>Table5[[#This Row],[Phone]]</f>
        <v>9649632103</v>
      </c>
      <c r="F104" s="34" t="s">
        <v>2285</v>
      </c>
      <c r="G104">
        <f>_xlfn.XLOOKUP(F104,Table6[Service Name],Table6[Unit Price])</f>
        <v>17000</v>
      </c>
      <c r="H104" t="s">
        <v>2482</v>
      </c>
    </row>
    <row r="105" spans="1:8" x14ac:dyDescent="0.25">
      <c r="A105" t="str">
        <f>Table5[[#This Row],[Client ID]]</f>
        <v>C0104</v>
      </c>
      <c r="B105" s="7">
        <v>46316</v>
      </c>
      <c r="C105" t="str">
        <f>client!B105</f>
        <v>Elite Textiles Pvt Ltd</v>
      </c>
      <c r="D105" t="str">
        <f>Table5[[#This Row],[Contact Person]]</f>
        <v>Arjun Agarwal</v>
      </c>
      <c r="E105">
        <f>Table5[[#This Row],[Phone]]</f>
        <v>9684777643</v>
      </c>
      <c r="F105" s="35" t="s">
        <v>2287</v>
      </c>
      <c r="G105">
        <f>_xlfn.XLOOKUP(F105,Table6[Service Name],Table6[Unit Price])</f>
        <v>45000</v>
      </c>
      <c r="H105" t="s">
        <v>2481</v>
      </c>
    </row>
    <row r="106" spans="1:8" x14ac:dyDescent="0.25">
      <c r="A106" t="str">
        <f>Table5[[#This Row],[Client ID]]</f>
        <v>C0105</v>
      </c>
      <c r="B106" s="7">
        <v>46317</v>
      </c>
      <c r="C106" t="str">
        <f>client!B106</f>
        <v>Global Packaging LLP</v>
      </c>
      <c r="D106" t="str">
        <f>Table5[[#This Row],[Contact Person]]</f>
        <v>Anjali Verma</v>
      </c>
      <c r="E106">
        <f>Table5[[#This Row],[Phone]]</f>
        <v>9552110031</v>
      </c>
      <c r="F106" s="34" t="s">
        <v>2289</v>
      </c>
      <c r="G106">
        <f>_xlfn.XLOOKUP(F106,Table6[Service Name],Table6[Unit Price])</f>
        <v>19000</v>
      </c>
      <c r="H106" t="s">
        <v>61</v>
      </c>
    </row>
    <row r="107" spans="1:8" x14ac:dyDescent="0.25">
      <c r="A107" t="str">
        <f>Table5[[#This Row],[Client ID]]</f>
        <v>C0106</v>
      </c>
      <c r="B107" s="7">
        <v>46318</v>
      </c>
      <c r="C107" t="str">
        <f>client!B107</f>
        <v>Bright Manufacturing Solutions</v>
      </c>
      <c r="D107" t="str">
        <f>Table5[[#This Row],[Contact Person]]</f>
        <v>Divya Joshi</v>
      </c>
      <c r="E107">
        <f>Table5[[#This Row],[Phone]]</f>
        <v>9823818620</v>
      </c>
      <c r="F107" s="35" t="s">
        <v>2291</v>
      </c>
      <c r="G107">
        <f>_xlfn.XLOOKUP(F107,Table6[Service Name],Table6[Unit Price])</f>
        <v>48000</v>
      </c>
      <c r="H107" t="s">
        <v>2481</v>
      </c>
    </row>
    <row r="108" spans="1:8" x14ac:dyDescent="0.25">
      <c r="A108" t="str">
        <f>Table5[[#This Row],[Client ID]]</f>
        <v>C0107</v>
      </c>
      <c r="B108" s="7">
        <v>46319</v>
      </c>
      <c r="C108" t="str">
        <f>client!B108</f>
        <v>Sigma Foods India</v>
      </c>
      <c r="D108" t="str">
        <f>Table5[[#This Row],[Contact Person]]</f>
        <v>Meera Singh</v>
      </c>
      <c r="E108">
        <f>Table5[[#This Row],[Phone]]</f>
        <v>9892493869</v>
      </c>
      <c r="F108" s="34" t="s">
        <v>2293</v>
      </c>
      <c r="G108">
        <f>_xlfn.XLOOKUP(F108,Table6[Service Name],Table6[Unit Price])</f>
        <v>31000</v>
      </c>
      <c r="H108" t="s">
        <v>2482</v>
      </c>
    </row>
    <row r="109" spans="1:8" x14ac:dyDescent="0.25">
      <c r="A109" t="str">
        <f>Table5[[#This Row],[Client ID]]</f>
        <v>C0108</v>
      </c>
      <c r="B109" s="7">
        <v>46320</v>
      </c>
      <c r="C109" t="str">
        <f>client!B109</f>
        <v>Smart Retail Corporation</v>
      </c>
      <c r="D109" t="str">
        <f>Table5[[#This Row],[Contact Person]]</f>
        <v>Nitin Joshi</v>
      </c>
      <c r="E109">
        <f>Table5[[#This Row],[Phone]]</f>
        <v>9720924237</v>
      </c>
      <c r="F109" s="35" t="s">
        <v>2295</v>
      </c>
      <c r="G109">
        <f>_xlfn.XLOOKUP(F109,Table6[Service Name],Table6[Unit Price])</f>
        <v>46500</v>
      </c>
      <c r="H109" t="s">
        <v>2481</v>
      </c>
    </row>
    <row r="110" spans="1:8" x14ac:dyDescent="0.25">
      <c r="A110" t="str">
        <f>Table5[[#This Row],[Client ID]]</f>
        <v>C0109</v>
      </c>
      <c r="B110" s="7">
        <v>46321</v>
      </c>
      <c r="C110" t="str">
        <f>client!B110</f>
        <v>Smart Automation Enterprises</v>
      </c>
      <c r="D110" t="str">
        <f>Table5[[#This Row],[Contact Person]]</f>
        <v>Vikas Bansal</v>
      </c>
      <c r="E110">
        <f>Table5[[#This Row],[Phone]]</f>
        <v>9968058944</v>
      </c>
      <c r="F110" s="34" t="s">
        <v>2297</v>
      </c>
      <c r="G110">
        <f>_xlfn.XLOOKUP(F110,Table6[Service Name],Table6[Unit Price])</f>
        <v>30000</v>
      </c>
      <c r="H110" t="s">
        <v>61</v>
      </c>
    </row>
    <row r="111" spans="1:8" x14ac:dyDescent="0.25">
      <c r="A111" t="str">
        <f>Table5[[#This Row],[Client ID]]</f>
        <v>C0110</v>
      </c>
      <c r="B111" s="7">
        <v>46322</v>
      </c>
      <c r="C111" t="str">
        <f>client!B111</f>
        <v>Apex Electronics Group</v>
      </c>
      <c r="D111" t="str">
        <f>Table5[[#This Row],[Contact Person]]</f>
        <v>Riya Joshi</v>
      </c>
      <c r="E111">
        <f>Table5[[#This Row],[Phone]]</f>
        <v>9501446613</v>
      </c>
      <c r="F111" s="35" t="s">
        <v>2299</v>
      </c>
      <c r="G111">
        <f>_xlfn.XLOOKUP(F111,Table6[Service Name],Table6[Unit Price])</f>
        <v>12500</v>
      </c>
      <c r="H111" t="s">
        <v>2481</v>
      </c>
    </row>
    <row r="112" spans="1:8" x14ac:dyDescent="0.25">
      <c r="A112" t="str">
        <f>Table5[[#This Row],[Client ID]]</f>
        <v>C0111</v>
      </c>
      <c r="B112" s="7">
        <v>46323</v>
      </c>
      <c r="C112" t="str">
        <f>client!B112</f>
        <v>Blue Consulting Group</v>
      </c>
      <c r="D112" t="str">
        <f>Table5[[#This Row],[Contact Person]]</f>
        <v>Priya Jain</v>
      </c>
      <c r="E112">
        <f>Table5[[#This Row],[Phone]]</f>
        <v>9650474151</v>
      </c>
      <c r="F112" s="34" t="s">
        <v>2301</v>
      </c>
      <c r="G112">
        <f>_xlfn.XLOOKUP(F112,Table6[Service Name],Table6[Unit Price])</f>
        <v>6500</v>
      </c>
      <c r="H112" t="s">
        <v>2482</v>
      </c>
    </row>
    <row r="113" spans="1:8" x14ac:dyDescent="0.25">
      <c r="A113" t="str">
        <f>Table5[[#This Row],[Client ID]]</f>
        <v>C0112</v>
      </c>
      <c r="B113" s="7">
        <v>46324</v>
      </c>
      <c r="C113" t="str">
        <f>client!B113</f>
        <v>Dynamic Consulting Pvt Ltd</v>
      </c>
      <c r="D113" t="str">
        <f>Table5[[#This Row],[Contact Person]]</f>
        <v>Meera Jain</v>
      </c>
      <c r="E113">
        <f>Table5[[#This Row],[Phone]]</f>
        <v>9251794331</v>
      </c>
      <c r="F113" s="35" t="s">
        <v>29</v>
      </c>
      <c r="G113">
        <f>_xlfn.XLOOKUP(F113,Table6[Service Name],Table6[Unit Price])</f>
        <v>47500</v>
      </c>
      <c r="H113" t="s">
        <v>2481</v>
      </c>
    </row>
    <row r="114" spans="1:8" x14ac:dyDescent="0.25">
      <c r="A114" t="str">
        <f>Table5[[#This Row],[Client ID]]</f>
        <v>C0113</v>
      </c>
      <c r="B114" s="7">
        <v>46325</v>
      </c>
      <c r="C114" t="str">
        <f>client!B114</f>
        <v>Future Tech Works</v>
      </c>
      <c r="D114" t="str">
        <f>Table5[[#This Row],[Contact Person]]</f>
        <v>Deepak Bansal</v>
      </c>
      <c r="E114">
        <f>Table5[[#This Row],[Phone]]</f>
        <v>9499227139</v>
      </c>
      <c r="F114" s="34" t="s">
        <v>2304</v>
      </c>
      <c r="G114">
        <f>_xlfn.XLOOKUP(F114,Table6[Service Name],Table6[Unit Price])</f>
        <v>11500</v>
      </c>
      <c r="H114" t="s">
        <v>61</v>
      </c>
    </row>
    <row r="115" spans="1:8" x14ac:dyDescent="0.25">
      <c r="A115" t="str">
        <f>Table5[[#This Row],[Client ID]]</f>
        <v>C0114</v>
      </c>
      <c r="B115" s="7">
        <v>46326</v>
      </c>
      <c r="C115" t="str">
        <f>client!B115</f>
        <v>Prime Electronics Enterprises</v>
      </c>
      <c r="D115" t="str">
        <f>Table5[[#This Row],[Contact Person]]</f>
        <v>Arjun Verma</v>
      </c>
      <c r="E115">
        <f>Table5[[#This Row],[Phone]]</f>
        <v>9538269252</v>
      </c>
      <c r="F115" s="35" t="s">
        <v>2306</v>
      </c>
      <c r="G115">
        <f>_xlfn.XLOOKUP(F115,Table6[Service Name],Table6[Unit Price])</f>
        <v>5500</v>
      </c>
      <c r="H115" t="s">
        <v>2481</v>
      </c>
    </row>
    <row r="116" spans="1:8" x14ac:dyDescent="0.25">
      <c r="A116" t="str">
        <f>Table5[[#This Row],[Client ID]]</f>
        <v>C0115</v>
      </c>
      <c r="B116" s="7">
        <v>46327</v>
      </c>
      <c r="C116" t="str">
        <f>client!B116</f>
        <v>Vertex Textiles Corporation</v>
      </c>
      <c r="D116" t="str">
        <f>Table5[[#This Row],[Contact Person]]</f>
        <v>Akash Mishra</v>
      </c>
      <c r="E116">
        <f>Table5[[#This Row],[Phone]]</f>
        <v>9391163211</v>
      </c>
      <c r="F116" s="34" t="s">
        <v>2308</v>
      </c>
      <c r="G116">
        <f>_xlfn.XLOOKUP(F116,Table6[Service Name],Table6[Unit Price])</f>
        <v>13000</v>
      </c>
      <c r="H116" t="s">
        <v>2482</v>
      </c>
    </row>
    <row r="117" spans="1:8" x14ac:dyDescent="0.25">
      <c r="A117" t="str">
        <f>Table5[[#This Row],[Client ID]]</f>
        <v>C0116</v>
      </c>
      <c r="B117" s="7">
        <v>46328</v>
      </c>
      <c r="C117" t="str">
        <f>client!B117</f>
        <v>Pioneer Steel Works</v>
      </c>
      <c r="D117" t="str">
        <f>Table5[[#This Row],[Contact Person]]</f>
        <v>Deepak Mehta</v>
      </c>
      <c r="E117">
        <f>Table5[[#This Row],[Phone]]</f>
        <v>9119556248</v>
      </c>
      <c r="F117" s="35" t="s">
        <v>2310</v>
      </c>
      <c r="G117">
        <f>_xlfn.XLOOKUP(F117,Table6[Service Name],Table6[Unit Price])</f>
        <v>31500</v>
      </c>
      <c r="H117" t="s">
        <v>2481</v>
      </c>
    </row>
    <row r="118" spans="1:8" x14ac:dyDescent="0.25">
      <c r="A118" t="str">
        <f>Table5[[#This Row],[Client ID]]</f>
        <v>C0117</v>
      </c>
      <c r="B118" s="7">
        <v>46329</v>
      </c>
      <c r="C118" t="str">
        <f>client!B118</f>
        <v>Future Tech Technologies</v>
      </c>
      <c r="D118" t="str">
        <f>Table5[[#This Row],[Contact Person]]</f>
        <v>Rohit Mehta</v>
      </c>
      <c r="E118">
        <f>Table5[[#This Row],[Phone]]</f>
        <v>9221911884</v>
      </c>
      <c r="F118" s="34" t="s">
        <v>2312</v>
      </c>
      <c r="G118">
        <f>_xlfn.XLOOKUP(F118,Table6[Service Name],Table6[Unit Price])</f>
        <v>21500</v>
      </c>
      <c r="H118" t="s">
        <v>61</v>
      </c>
    </row>
    <row r="119" spans="1:8" x14ac:dyDescent="0.25">
      <c r="A119" t="str">
        <f>Table5[[#This Row],[Client ID]]</f>
        <v>C0118</v>
      </c>
      <c r="B119" s="7">
        <v>46330</v>
      </c>
      <c r="C119" t="str">
        <f>client!B119</f>
        <v>Rapid Industries Works</v>
      </c>
      <c r="D119" t="str">
        <f>Table5[[#This Row],[Contact Person]]</f>
        <v>Kavya Agarwal</v>
      </c>
      <c r="E119">
        <f>Table5[[#This Row],[Phone]]</f>
        <v>9284346077</v>
      </c>
      <c r="F119" s="35" t="s">
        <v>2314</v>
      </c>
      <c r="G119">
        <f>_xlfn.XLOOKUP(F119,Table6[Service Name],Table6[Unit Price])</f>
        <v>17500</v>
      </c>
      <c r="H119" t="s">
        <v>2481</v>
      </c>
    </row>
    <row r="120" spans="1:8" x14ac:dyDescent="0.25">
      <c r="A120" t="str">
        <f>Table5[[#This Row],[Client ID]]</f>
        <v>C0119</v>
      </c>
      <c r="B120" s="7">
        <v>46331</v>
      </c>
      <c r="C120" t="str">
        <f>client!B120</f>
        <v>Green Industries LLP</v>
      </c>
      <c r="D120" t="str">
        <f>Table5[[#This Row],[Contact Person]]</f>
        <v>Akash Kapoor</v>
      </c>
      <c r="E120">
        <f>Table5[[#This Row],[Phone]]</f>
        <v>9909124394</v>
      </c>
      <c r="F120" s="34" t="s">
        <v>2316</v>
      </c>
      <c r="G120">
        <f>_xlfn.XLOOKUP(F120,Table6[Service Name],Table6[Unit Price])</f>
        <v>40000</v>
      </c>
      <c r="H120" t="s">
        <v>2482</v>
      </c>
    </row>
    <row r="121" spans="1:8" x14ac:dyDescent="0.25">
      <c r="A121" t="str">
        <f>Table5[[#This Row],[Client ID]]</f>
        <v>C0120</v>
      </c>
      <c r="B121" s="7">
        <v>46332</v>
      </c>
      <c r="C121" t="str">
        <f>client!B121</f>
        <v>Summit Solutions Technologies</v>
      </c>
      <c r="D121" t="str">
        <f>Table5[[#This Row],[Contact Person]]</f>
        <v>Priya Joshi</v>
      </c>
      <c r="E121">
        <f>Table5[[#This Row],[Phone]]</f>
        <v>9864837338</v>
      </c>
      <c r="F121" s="35" t="s">
        <v>2318</v>
      </c>
      <c r="G121">
        <f>_xlfn.XLOOKUP(F121,Table6[Service Name],Table6[Unit Price])</f>
        <v>23000</v>
      </c>
      <c r="H121" t="s">
        <v>2481</v>
      </c>
    </row>
    <row r="122" spans="1:8" x14ac:dyDescent="0.25">
      <c r="A122" t="str">
        <f>Table5[[#This Row],[Client ID]]</f>
        <v>C0121</v>
      </c>
      <c r="B122" s="7">
        <v>46333</v>
      </c>
      <c r="C122" t="str">
        <f>client!B122</f>
        <v>Rapid Packaging Group</v>
      </c>
      <c r="D122" t="str">
        <f>Table5[[#This Row],[Contact Person]]</f>
        <v>Arjun Gupta</v>
      </c>
      <c r="E122">
        <f>Table5[[#This Row],[Phone]]</f>
        <v>9707122916</v>
      </c>
      <c r="F122" s="34" t="s">
        <v>2320</v>
      </c>
      <c r="G122">
        <f>_xlfn.XLOOKUP(F122,Table6[Service Name],Table6[Unit Price])</f>
        <v>48000</v>
      </c>
      <c r="H122" t="s">
        <v>61</v>
      </c>
    </row>
    <row r="123" spans="1:8" x14ac:dyDescent="0.25">
      <c r="A123" t="str">
        <f>Table5[[#This Row],[Client ID]]</f>
        <v>C0122</v>
      </c>
      <c r="B123" s="7">
        <v>46334</v>
      </c>
      <c r="C123" t="str">
        <f>client!B123</f>
        <v>Fusion Digital LLP</v>
      </c>
      <c r="D123" t="str">
        <f>Table5[[#This Row],[Contact Person]]</f>
        <v>Karan Patel</v>
      </c>
      <c r="E123">
        <f>Table5[[#This Row],[Phone]]</f>
        <v>9878336856</v>
      </c>
      <c r="F123" s="35" t="s">
        <v>2322</v>
      </c>
      <c r="G123">
        <f>_xlfn.XLOOKUP(F123,Table6[Service Name],Table6[Unit Price])</f>
        <v>38500</v>
      </c>
      <c r="H123" t="s">
        <v>2481</v>
      </c>
    </row>
    <row r="124" spans="1:8" x14ac:dyDescent="0.25">
      <c r="A124" t="str">
        <f>Table5[[#This Row],[Client ID]]</f>
        <v>C0123</v>
      </c>
      <c r="B124" s="7">
        <v>46335</v>
      </c>
      <c r="C124" t="str">
        <f>client!B124</f>
        <v>Titan Textiles India</v>
      </c>
      <c r="D124" t="str">
        <f>Table5[[#This Row],[Contact Person]]</f>
        <v>Harsh Mehta</v>
      </c>
      <c r="E124">
        <f>Table5[[#This Row],[Phone]]</f>
        <v>9430939711</v>
      </c>
      <c r="F124" s="34" t="s">
        <v>2324</v>
      </c>
      <c r="G124">
        <f>_xlfn.XLOOKUP(F124,Table6[Service Name],Table6[Unit Price])</f>
        <v>49000</v>
      </c>
      <c r="H124" t="s">
        <v>2482</v>
      </c>
    </row>
    <row r="125" spans="1:8" x14ac:dyDescent="0.25">
      <c r="A125" t="str">
        <f>Table5[[#This Row],[Client ID]]</f>
        <v>C0124</v>
      </c>
      <c r="B125" s="7">
        <v>46336</v>
      </c>
      <c r="C125" t="str">
        <f>client!B125</f>
        <v>Orbit Automation Solutions</v>
      </c>
      <c r="D125" t="str">
        <f>Table5[[#This Row],[Contact Person]]</f>
        <v>Rohit Sharma</v>
      </c>
      <c r="E125">
        <f>Table5[[#This Row],[Phone]]</f>
        <v>9103766788</v>
      </c>
      <c r="F125" s="35" t="s">
        <v>2326</v>
      </c>
      <c r="G125">
        <f>_xlfn.XLOOKUP(F125,Table6[Service Name],Table6[Unit Price])</f>
        <v>12500</v>
      </c>
      <c r="H125" t="s">
        <v>2481</v>
      </c>
    </row>
    <row r="126" spans="1:8" x14ac:dyDescent="0.25">
      <c r="A126" t="str">
        <f>Table5[[#This Row],[Client ID]]</f>
        <v>C0125</v>
      </c>
      <c r="B126" s="7">
        <v>46337</v>
      </c>
      <c r="C126" t="str">
        <f>client!B126</f>
        <v>Nexus Systems Solutions</v>
      </c>
      <c r="D126" t="str">
        <f>Table5[[#This Row],[Contact Person]]</f>
        <v>Akash Verma</v>
      </c>
      <c r="E126">
        <f>Table5[[#This Row],[Phone]]</f>
        <v>9172070263</v>
      </c>
      <c r="F126" s="34" t="s">
        <v>2328</v>
      </c>
      <c r="G126">
        <f>_xlfn.XLOOKUP(F126,Table6[Service Name],Table6[Unit Price])</f>
        <v>22500</v>
      </c>
      <c r="H126" t="s">
        <v>61</v>
      </c>
    </row>
    <row r="127" spans="1:8" x14ac:dyDescent="0.25">
      <c r="A127" t="str">
        <f>Table5[[#This Row],[Client ID]]</f>
        <v>C0126</v>
      </c>
      <c r="B127" s="7">
        <v>46338</v>
      </c>
      <c r="C127" t="str">
        <f>client!B127</f>
        <v>Orbit Automation Enterprises</v>
      </c>
      <c r="D127" t="str">
        <f>Table5[[#This Row],[Contact Person]]</f>
        <v>Nisha Sharma</v>
      </c>
      <c r="E127">
        <f>Table5[[#This Row],[Phone]]</f>
        <v>9143649358</v>
      </c>
      <c r="F127" s="35" t="s">
        <v>2330</v>
      </c>
      <c r="G127">
        <f>_xlfn.XLOOKUP(F127,Table6[Service Name],Table6[Unit Price])</f>
        <v>19500</v>
      </c>
      <c r="H127" t="s">
        <v>2481</v>
      </c>
    </row>
    <row r="128" spans="1:8" x14ac:dyDescent="0.25">
      <c r="A128" t="str">
        <f>Table5[[#This Row],[Client ID]]</f>
        <v>C0127</v>
      </c>
      <c r="B128" s="7">
        <v>46339</v>
      </c>
      <c r="C128" t="str">
        <f>client!B128</f>
        <v>Vertex Solutions Enterprises</v>
      </c>
      <c r="D128" t="str">
        <f>Table5[[#This Row],[Contact Person]]</f>
        <v>Akash Bansal</v>
      </c>
      <c r="E128">
        <f>Table5[[#This Row],[Phone]]</f>
        <v>9942074269</v>
      </c>
      <c r="F128" s="34" t="s">
        <v>2332</v>
      </c>
      <c r="G128">
        <f>_xlfn.XLOOKUP(F128,Table6[Service Name],Table6[Unit Price])</f>
        <v>23500</v>
      </c>
      <c r="H128" t="s">
        <v>2482</v>
      </c>
    </row>
    <row r="129" spans="1:8" x14ac:dyDescent="0.25">
      <c r="A129" t="str">
        <f>Table5[[#This Row],[Client ID]]</f>
        <v>C0128</v>
      </c>
      <c r="B129" s="7">
        <v>46340</v>
      </c>
      <c r="C129" t="str">
        <f>client!B129</f>
        <v>Bright Electronics India</v>
      </c>
      <c r="D129" t="str">
        <f>Table5[[#This Row],[Contact Person]]</f>
        <v>Rohit Bansal</v>
      </c>
      <c r="E129">
        <f>Table5[[#This Row],[Phone]]</f>
        <v>9946518213</v>
      </c>
      <c r="F129" s="35" t="s">
        <v>2334</v>
      </c>
      <c r="G129">
        <f>_xlfn.XLOOKUP(F129,Table6[Service Name],Table6[Unit Price])</f>
        <v>38000</v>
      </c>
      <c r="H129" t="s">
        <v>2481</v>
      </c>
    </row>
    <row r="130" spans="1:8" x14ac:dyDescent="0.25">
      <c r="A130" t="str">
        <f>Table5[[#This Row],[Client ID]]</f>
        <v>C0129</v>
      </c>
      <c r="B130" s="7">
        <v>46341</v>
      </c>
      <c r="C130" t="str">
        <f>client!B130</f>
        <v>Global Systems Works</v>
      </c>
      <c r="D130" t="str">
        <f>Table5[[#This Row],[Contact Person]]</f>
        <v>Divya Singh</v>
      </c>
      <c r="E130">
        <f>Table5[[#This Row],[Phone]]</f>
        <v>9975772452</v>
      </c>
      <c r="F130" s="34" t="s">
        <v>2336</v>
      </c>
      <c r="G130">
        <f>_xlfn.XLOOKUP(F130,Table6[Service Name],Table6[Unit Price])</f>
        <v>16500</v>
      </c>
      <c r="H130" t="s">
        <v>61</v>
      </c>
    </row>
    <row r="131" spans="1:8" x14ac:dyDescent="0.25">
      <c r="A131" t="str">
        <f>Table5[[#This Row],[Client ID]]</f>
        <v>C0130</v>
      </c>
      <c r="B131" s="7">
        <v>46342</v>
      </c>
      <c r="C131" t="str">
        <f>client!B131</f>
        <v>Future Energy India</v>
      </c>
      <c r="D131" t="str">
        <f>Table5[[#This Row],[Contact Person]]</f>
        <v>Divya Agarwal</v>
      </c>
      <c r="E131">
        <f>Table5[[#This Row],[Phone]]</f>
        <v>9354905424</v>
      </c>
      <c r="F131" s="35" t="s">
        <v>2338</v>
      </c>
      <c r="G131">
        <f>_xlfn.XLOOKUP(F131,Table6[Service Name],Table6[Unit Price])</f>
        <v>12500</v>
      </c>
      <c r="H131" t="s">
        <v>2481</v>
      </c>
    </row>
    <row r="132" spans="1:8" x14ac:dyDescent="0.25">
      <c r="A132" t="str">
        <f>Table5[[#This Row],[Client ID]]</f>
        <v>C0131</v>
      </c>
      <c r="B132" s="7">
        <v>46343</v>
      </c>
      <c r="C132" t="str">
        <f>client!B132</f>
        <v>Rapid Systems India</v>
      </c>
      <c r="D132" t="str">
        <f>Table5[[#This Row],[Contact Person]]</f>
        <v>Nisha Jain</v>
      </c>
      <c r="E132">
        <f>Table5[[#This Row],[Phone]]</f>
        <v>9504629761</v>
      </c>
      <c r="F132" s="34" t="s">
        <v>2340</v>
      </c>
      <c r="G132">
        <f>_xlfn.XLOOKUP(F132,Table6[Service Name],Table6[Unit Price])</f>
        <v>45500</v>
      </c>
      <c r="H132" t="s">
        <v>2482</v>
      </c>
    </row>
    <row r="133" spans="1:8" x14ac:dyDescent="0.25">
      <c r="A133" t="str">
        <f>Table5[[#This Row],[Client ID]]</f>
        <v>C0132</v>
      </c>
      <c r="B133" s="7">
        <v>46344</v>
      </c>
      <c r="C133" t="str">
        <f>client!B133</f>
        <v>Blue Textiles Works</v>
      </c>
      <c r="D133" t="str">
        <f>Table5[[#This Row],[Contact Person]]</f>
        <v>Riya Agarwal</v>
      </c>
      <c r="E133">
        <f>Table5[[#This Row],[Phone]]</f>
        <v>9659905371</v>
      </c>
      <c r="F133" s="35" t="s">
        <v>2343</v>
      </c>
      <c r="G133">
        <f>_xlfn.XLOOKUP(F133,Table6[Service Name],Table6[Unit Price])</f>
        <v>17500</v>
      </c>
      <c r="H133" t="s">
        <v>2481</v>
      </c>
    </row>
    <row r="134" spans="1:8" x14ac:dyDescent="0.25">
      <c r="A134" t="str">
        <f>Table5[[#This Row],[Client ID]]</f>
        <v>C0133</v>
      </c>
      <c r="B134" s="7">
        <v>46345</v>
      </c>
      <c r="C134" t="str">
        <f>client!B134</f>
        <v>Rapid Steel Works</v>
      </c>
      <c r="D134" t="str">
        <f>Table5[[#This Row],[Contact Person]]</f>
        <v>Pooja Mehta</v>
      </c>
      <c r="E134">
        <f>Table5[[#This Row],[Phone]]</f>
        <v>9496151114</v>
      </c>
      <c r="F134" s="34" t="s">
        <v>2345</v>
      </c>
      <c r="G134">
        <f>_xlfn.XLOOKUP(F134,Table6[Service Name],Table6[Unit Price])</f>
        <v>28000</v>
      </c>
      <c r="H134" t="s">
        <v>61</v>
      </c>
    </row>
    <row r="135" spans="1:8" x14ac:dyDescent="0.25">
      <c r="A135" t="str">
        <f>Table5[[#This Row],[Client ID]]</f>
        <v>C0134</v>
      </c>
      <c r="B135" s="7">
        <v>46346</v>
      </c>
      <c r="C135" t="str">
        <f>client!B135</f>
        <v>Orbit Retail Corporation</v>
      </c>
      <c r="D135" t="str">
        <f>Table5[[#This Row],[Contact Person]]</f>
        <v>Divya Mishra</v>
      </c>
      <c r="E135">
        <f>Table5[[#This Row],[Phone]]</f>
        <v>9151852558</v>
      </c>
      <c r="F135" s="35" t="s">
        <v>2347</v>
      </c>
      <c r="G135">
        <f>_xlfn.XLOOKUP(F135,Table6[Service Name],Table6[Unit Price])</f>
        <v>5000</v>
      </c>
      <c r="H135" t="s">
        <v>2481</v>
      </c>
    </row>
    <row r="136" spans="1:8" x14ac:dyDescent="0.25">
      <c r="A136" t="str">
        <f>Table5[[#This Row],[Client ID]]</f>
        <v>C0135</v>
      </c>
      <c r="B136" s="7">
        <v>46347</v>
      </c>
      <c r="C136" t="str">
        <f>client!B136</f>
        <v>Summit Steel Pvt Ltd</v>
      </c>
      <c r="D136" t="str">
        <f>Table5[[#This Row],[Contact Person]]</f>
        <v>Kavya Sharma</v>
      </c>
      <c r="E136">
        <f>Table5[[#This Row],[Phone]]</f>
        <v>9337981466</v>
      </c>
      <c r="F136" s="34" t="s">
        <v>2349</v>
      </c>
      <c r="G136">
        <f>_xlfn.XLOOKUP(F136,Table6[Service Name],Table6[Unit Price])</f>
        <v>23500</v>
      </c>
      <c r="H136" t="s">
        <v>2482</v>
      </c>
    </row>
    <row r="137" spans="1:8" x14ac:dyDescent="0.25">
      <c r="A137" t="str">
        <f>Table5[[#This Row],[Client ID]]</f>
        <v>C0136</v>
      </c>
      <c r="B137" s="7">
        <v>46348</v>
      </c>
      <c r="C137" t="str">
        <f>client!B137</f>
        <v>Metro Solutions Corporation</v>
      </c>
      <c r="D137" t="str">
        <f>Table5[[#This Row],[Contact Person]]</f>
        <v>Arjun Patel</v>
      </c>
      <c r="E137">
        <f>Table5[[#This Row],[Phone]]</f>
        <v>9757687733</v>
      </c>
      <c r="F137" s="35" t="s">
        <v>2351</v>
      </c>
      <c r="G137">
        <f>_xlfn.XLOOKUP(F137,Table6[Service Name],Table6[Unit Price])</f>
        <v>27000</v>
      </c>
      <c r="H137" t="s">
        <v>2481</v>
      </c>
    </row>
    <row r="138" spans="1:8" x14ac:dyDescent="0.25">
      <c r="A138" t="str">
        <f>Table5[[#This Row],[Client ID]]</f>
        <v>C0137</v>
      </c>
      <c r="B138" s="7">
        <v>46349</v>
      </c>
      <c r="C138" t="str">
        <f>client!B138</f>
        <v>Dynamic Logistics LLP</v>
      </c>
      <c r="D138" t="str">
        <f>Table5[[#This Row],[Contact Person]]</f>
        <v>Sneha Jain</v>
      </c>
      <c r="E138">
        <f>Table5[[#This Row],[Phone]]</f>
        <v>9673499589</v>
      </c>
      <c r="F138" s="34" t="s">
        <v>2353</v>
      </c>
      <c r="G138">
        <f>_xlfn.XLOOKUP(F138,Table6[Service Name],Table6[Unit Price])</f>
        <v>12500</v>
      </c>
      <c r="H138" t="s">
        <v>61</v>
      </c>
    </row>
    <row r="139" spans="1:8" x14ac:dyDescent="0.25">
      <c r="A139" t="str">
        <f>Table5[[#This Row],[Client ID]]</f>
        <v>C0138</v>
      </c>
      <c r="B139" s="7">
        <v>46350</v>
      </c>
      <c r="C139" t="str">
        <f>client!B139</f>
        <v>Metro Packaging Solutions</v>
      </c>
      <c r="D139" t="str">
        <f>Table5[[#This Row],[Contact Person]]</f>
        <v>Rohit Gupta</v>
      </c>
      <c r="E139">
        <f>Table5[[#This Row],[Phone]]</f>
        <v>9115152664</v>
      </c>
      <c r="F139" s="35" t="s">
        <v>2355</v>
      </c>
      <c r="G139">
        <f>_xlfn.XLOOKUP(F139,Table6[Service Name],Table6[Unit Price])</f>
        <v>44000</v>
      </c>
      <c r="H139" t="s">
        <v>2481</v>
      </c>
    </row>
    <row r="140" spans="1:8" x14ac:dyDescent="0.25">
      <c r="A140" t="str">
        <f>Table5[[#This Row],[Client ID]]</f>
        <v>C0139</v>
      </c>
      <c r="B140" s="7">
        <v>46351</v>
      </c>
      <c r="C140" t="str">
        <f>client!B140</f>
        <v>Elite Textiles Corporation</v>
      </c>
      <c r="D140" t="str">
        <f>Table5[[#This Row],[Contact Person]]</f>
        <v>Nisha Reddy</v>
      </c>
      <c r="E140">
        <f>Table5[[#This Row],[Phone]]</f>
        <v>9389652746</v>
      </c>
      <c r="F140" s="34" t="s">
        <v>2357</v>
      </c>
      <c r="G140">
        <f>_xlfn.XLOOKUP(F140,Table6[Service Name],Table6[Unit Price])</f>
        <v>21500</v>
      </c>
      <c r="H140" t="s">
        <v>2482</v>
      </c>
    </row>
    <row r="141" spans="1:8" x14ac:dyDescent="0.25">
      <c r="A141" t="str">
        <f>Table5[[#This Row],[Client ID]]</f>
        <v>C0140</v>
      </c>
      <c r="B141" s="7">
        <v>46352</v>
      </c>
      <c r="C141" t="str">
        <f>client!B141</f>
        <v>Titan Digital Solutions</v>
      </c>
      <c r="D141" t="str">
        <f>Table5[[#This Row],[Contact Person]]</f>
        <v>Divya Joshi</v>
      </c>
      <c r="E141">
        <f>Table5[[#This Row],[Phone]]</f>
        <v>9655749968</v>
      </c>
      <c r="F141" s="35" t="s">
        <v>2359</v>
      </c>
      <c r="G141">
        <f>_xlfn.XLOOKUP(F141,Table6[Service Name],Table6[Unit Price])</f>
        <v>17000</v>
      </c>
      <c r="H141" t="s">
        <v>2481</v>
      </c>
    </row>
    <row r="142" spans="1:8" x14ac:dyDescent="0.25">
      <c r="A142" t="str">
        <f>Table5[[#This Row],[Client ID]]</f>
        <v>C0141</v>
      </c>
      <c r="B142" s="7">
        <v>46353</v>
      </c>
      <c r="C142" t="str">
        <f>client!B142</f>
        <v>Prime Solutions Enterprises</v>
      </c>
      <c r="D142" t="str">
        <f>Table5[[#This Row],[Contact Person]]</f>
        <v>Amit Mehta</v>
      </c>
      <c r="E142">
        <f>Table5[[#This Row],[Phone]]</f>
        <v>9299348635</v>
      </c>
      <c r="F142" s="34" t="s">
        <v>27</v>
      </c>
      <c r="G142">
        <f>_xlfn.XLOOKUP(F142,Table6[Service Name],Table6[Unit Price])</f>
        <v>44500</v>
      </c>
      <c r="H142" t="s">
        <v>61</v>
      </c>
    </row>
    <row r="143" spans="1:8" x14ac:dyDescent="0.25">
      <c r="A143" t="str">
        <f>Table5[[#This Row],[Client ID]]</f>
        <v>C0142</v>
      </c>
      <c r="B143" s="7">
        <v>46354</v>
      </c>
      <c r="C143" t="str">
        <f>client!B143</f>
        <v>Titan Infra Group</v>
      </c>
      <c r="D143" t="str">
        <f>Table5[[#This Row],[Contact Person]]</f>
        <v>Karan Mehta</v>
      </c>
      <c r="E143">
        <f>Table5[[#This Row],[Phone]]</f>
        <v>9314231104</v>
      </c>
      <c r="F143" s="35" t="s">
        <v>2362</v>
      </c>
      <c r="G143">
        <f>_xlfn.XLOOKUP(F143,Table6[Service Name],Table6[Unit Price])</f>
        <v>37500</v>
      </c>
      <c r="H143" t="s">
        <v>2481</v>
      </c>
    </row>
    <row r="144" spans="1:8" x14ac:dyDescent="0.25">
      <c r="A144" t="str">
        <f>Table5[[#This Row],[Client ID]]</f>
        <v>C0143</v>
      </c>
      <c r="B144" s="7">
        <v>46355</v>
      </c>
      <c r="C144" t="str">
        <f>client!B144</f>
        <v>Silver Automation India</v>
      </c>
      <c r="D144" t="str">
        <f>Table5[[#This Row],[Contact Person]]</f>
        <v>Priya Singh</v>
      </c>
      <c r="E144">
        <f>Table5[[#This Row],[Phone]]</f>
        <v>9772123530</v>
      </c>
      <c r="F144" s="34" t="s">
        <v>2364</v>
      </c>
      <c r="G144">
        <f>_xlfn.XLOOKUP(F144,Table6[Service Name],Table6[Unit Price])</f>
        <v>47000</v>
      </c>
      <c r="H144" t="s">
        <v>2482</v>
      </c>
    </row>
    <row r="145" spans="1:8" x14ac:dyDescent="0.25">
      <c r="A145" t="str">
        <f>Table5[[#This Row],[Client ID]]</f>
        <v>C0144</v>
      </c>
      <c r="B145" s="7">
        <v>46356</v>
      </c>
      <c r="C145" t="str">
        <f>client!B145</f>
        <v>Fusion Manufacturing Solutions</v>
      </c>
      <c r="D145" t="str">
        <f>Table5[[#This Row],[Contact Person]]</f>
        <v>Priya Mishra</v>
      </c>
      <c r="E145">
        <f>Table5[[#This Row],[Phone]]</f>
        <v>9803871333</v>
      </c>
      <c r="F145" s="35" t="s">
        <v>2366</v>
      </c>
      <c r="G145">
        <f>_xlfn.XLOOKUP(F145,Table6[Service Name],Table6[Unit Price])</f>
        <v>8500</v>
      </c>
      <c r="H145" t="s">
        <v>2481</v>
      </c>
    </row>
    <row r="146" spans="1:8" x14ac:dyDescent="0.25">
      <c r="A146" t="str">
        <f>Table5[[#This Row],[Client ID]]</f>
        <v>C0145</v>
      </c>
      <c r="B146" s="7">
        <v>46357</v>
      </c>
      <c r="C146" t="str">
        <f>client!B146</f>
        <v>Royal Textiles Pvt Ltd</v>
      </c>
      <c r="D146" t="str">
        <f>Table5[[#This Row],[Contact Person]]</f>
        <v>Neha Jain</v>
      </c>
      <c r="E146">
        <f>Table5[[#This Row],[Phone]]</f>
        <v>9904934916</v>
      </c>
      <c r="F146" s="34" t="s">
        <v>2368</v>
      </c>
      <c r="G146">
        <f>_xlfn.XLOOKUP(F146,Table6[Service Name],Table6[Unit Price])</f>
        <v>15500</v>
      </c>
      <c r="H146" t="s">
        <v>61</v>
      </c>
    </row>
    <row r="147" spans="1:8" x14ac:dyDescent="0.25">
      <c r="A147" t="str">
        <f>Table5[[#This Row],[Client ID]]</f>
        <v>C0146</v>
      </c>
      <c r="B147" s="7">
        <v>46358</v>
      </c>
      <c r="C147" t="str">
        <f>client!B147</f>
        <v>Titan Infra Technologies</v>
      </c>
      <c r="D147" t="str">
        <f>Table5[[#This Row],[Contact Person]]</f>
        <v>Nisha Reddy</v>
      </c>
      <c r="E147">
        <f>Table5[[#This Row],[Phone]]</f>
        <v>9661829643</v>
      </c>
      <c r="F147" s="35" t="s">
        <v>2370</v>
      </c>
      <c r="G147">
        <f>_xlfn.XLOOKUP(F147,Table6[Service Name],Table6[Unit Price])</f>
        <v>32500</v>
      </c>
      <c r="H147" t="s">
        <v>2481</v>
      </c>
    </row>
    <row r="148" spans="1:8" x14ac:dyDescent="0.25">
      <c r="A148" t="str">
        <f>Table5[[#This Row],[Client ID]]</f>
        <v>C0147</v>
      </c>
      <c r="B148" s="7">
        <v>46359</v>
      </c>
      <c r="C148" t="str">
        <f>client!B148</f>
        <v>Apex Systems India</v>
      </c>
      <c r="D148" t="str">
        <f>Table5[[#This Row],[Contact Person]]</f>
        <v>Vikas Nair</v>
      </c>
      <c r="E148">
        <f>Table5[[#This Row],[Phone]]</f>
        <v>9898733637</v>
      </c>
      <c r="F148" s="34" t="s">
        <v>2372</v>
      </c>
      <c r="G148">
        <f>_xlfn.XLOOKUP(F148,Table6[Service Name],Table6[Unit Price])</f>
        <v>12500</v>
      </c>
      <c r="H148" t="s">
        <v>2482</v>
      </c>
    </row>
    <row r="149" spans="1:8" x14ac:dyDescent="0.25">
      <c r="A149" t="str">
        <f>Table5[[#This Row],[Client ID]]</f>
        <v>C0148</v>
      </c>
      <c r="B149" s="7">
        <v>46360</v>
      </c>
      <c r="C149" t="str">
        <f>client!B149</f>
        <v>Fusion Engineering Group</v>
      </c>
      <c r="D149" t="str">
        <f>Table5[[#This Row],[Contact Person]]</f>
        <v>Akash Joshi</v>
      </c>
      <c r="E149">
        <f>Table5[[#This Row],[Phone]]</f>
        <v>9777204713</v>
      </c>
      <c r="F149" s="35" t="s">
        <v>2374</v>
      </c>
      <c r="G149">
        <f>_xlfn.XLOOKUP(F149,Table6[Service Name],Table6[Unit Price])</f>
        <v>49500</v>
      </c>
      <c r="H149" t="s">
        <v>2481</v>
      </c>
    </row>
    <row r="150" spans="1:8" x14ac:dyDescent="0.25">
      <c r="A150" t="str">
        <f>Table5[[#This Row],[Client ID]]</f>
        <v>C0149</v>
      </c>
      <c r="B150" s="7">
        <v>46361</v>
      </c>
      <c r="C150" t="str">
        <f>client!B150</f>
        <v>Core Pharma Pvt Ltd</v>
      </c>
      <c r="D150" t="str">
        <f>Table5[[#This Row],[Contact Person]]</f>
        <v>Amit Mehta</v>
      </c>
      <c r="E150">
        <f>Table5[[#This Row],[Phone]]</f>
        <v>9878058375</v>
      </c>
      <c r="F150" s="34" t="s">
        <v>2376</v>
      </c>
      <c r="G150">
        <f>_xlfn.XLOOKUP(F150,Table6[Service Name],Table6[Unit Price])</f>
        <v>14500</v>
      </c>
      <c r="H150" t="s">
        <v>61</v>
      </c>
    </row>
    <row r="151" spans="1:8" x14ac:dyDescent="0.25">
      <c r="A151" t="str">
        <f>Table5[[#This Row],[Client ID]]</f>
        <v>C0150</v>
      </c>
      <c r="B151" s="7">
        <v>46362</v>
      </c>
      <c r="C151" t="str">
        <f>client!B151</f>
        <v>Elite Energy Corporation</v>
      </c>
      <c r="D151" t="str">
        <f>Table5[[#This Row],[Contact Person]]</f>
        <v>Karan Sharma</v>
      </c>
      <c r="E151">
        <f>Table5[[#This Row],[Phone]]</f>
        <v>9128886392</v>
      </c>
      <c r="F151" s="35" t="s">
        <v>2378</v>
      </c>
      <c r="G151">
        <f>_xlfn.XLOOKUP(F151,Table6[Service Name],Table6[Unit Price])</f>
        <v>30500</v>
      </c>
      <c r="H151" t="s">
        <v>2481</v>
      </c>
    </row>
    <row r="152" spans="1:8" x14ac:dyDescent="0.25">
      <c r="A152" t="str">
        <f>Table5[[#This Row],[Client ID]]</f>
        <v>C0151</v>
      </c>
      <c r="B152" s="7">
        <v>46363</v>
      </c>
      <c r="C152" t="str">
        <f>client!B152</f>
        <v>Nova Tech Pvt Ltd</v>
      </c>
      <c r="D152" t="str">
        <f>Table5[[#This Row],[Contact Person]]</f>
        <v>Karan Mishra</v>
      </c>
      <c r="E152">
        <f>Table5[[#This Row],[Phone]]</f>
        <v>9791000889</v>
      </c>
      <c r="F152" s="34" t="s">
        <v>2380</v>
      </c>
      <c r="G152">
        <f>_xlfn.XLOOKUP(F152,Table6[Service Name],Table6[Unit Price])</f>
        <v>24000</v>
      </c>
      <c r="H152" t="s">
        <v>2482</v>
      </c>
    </row>
    <row r="153" spans="1:8" x14ac:dyDescent="0.25">
      <c r="A153" t="str">
        <f>Table5[[#This Row],[Client ID]]</f>
        <v>C0152</v>
      </c>
      <c r="B153" s="7">
        <v>46364</v>
      </c>
      <c r="C153" t="str">
        <f>client!B153</f>
        <v>Metro Consulting Enterprises</v>
      </c>
      <c r="D153" t="str">
        <f>Table5[[#This Row],[Contact Person]]</f>
        <v>Nisha Verma</v>
      </c>
      <c r="E153">
        <f>Table5[[#This Row],[Phone]]</f>
        <v>9911504608</v>
      </c>
      <c r="F153" s="35" t="s">
        <v>2382</v>
      </c>
      <c r="G153">
        <f>_xlfn.XLOOKUP(F153,Table6[Service Name],Table6[Unit Price])</f>
        <v>46000</v>
      </c>
      <c r="H153" t="s">
        <v>2481</v>
      </c>
    </row>
    <row r="154" spans="1:8" x14ac:dyDescent="0.25">
      <c r="A154" t="str">
        <f>Table5[[#This Row],[Client ID]]</f>
        <v>C0153</v>
      </c>
      <c r="B154" s="7">
        <v>46365</v>
      </c>
      <c r="C154" t="str">
        <f>client!B154</f>
        <v>Future Consulting LLP</v>
      </c>
      <c r="D154" t="str">
        <f>Table5[[#This Row],[Contact Person]]</f>
        <v>Rahul Sharma</v>
      </c>
      <c r="E154">
        <f>Table5[[#This Row],[Phone]]</f>
        <v>9971898776</v>
      </c>
      <c r="F154" s="34" t="s">
        <v>2384</v>
      </c>
      <c r="G154">
        <f>_xlfn.XLOOKUP(F154,Table6[Service Name],Table6[Unit Price])</f>
        <v>28500</v>
      </c>
      <c r="H154" t="s">
        <v>61</v>
      </c>
    </row>
    <row r="155" spans="1:8" x14ac:dyDescent="0.25">
      <c r="A155" t="str">
        <f>Table5[[#This Row],[Client ID]]</f>
        <v>C0154</v>
      </c>
      <c r="B155" s="7">
        <v>46366</v>
      </c>
      <c r="C155" t="str">
        <f>client!B155</f>
        <v>Bright Traders Group</v>
      </c>
      <c r="D155" t="str">
        <f>Table5[[#This Row],[Contact Person]]</f>
        <v>Nitin Jain</v>
      </c>
      <c r="E155">
        <f>Table5[[#This Row],[Phone]]</f>
        <v>9461331100</v>
      </c>
      <c r="F155" s="35" t="s">
        <v>2386</v>
      </c>
      <c r="G155">
        <f>_xlfn.XLOOKUP(F155,Table6[Service Name],Table6[Unit Price])</f>
        <v>10000</v>
      </c>
      <c r="H155" t="s">
        <v>2481</v>
      </c>
    </row>
    <row r="156" spans="1:8" x14ac:dyDescent="0.25">
      <c r="A156" t="str">
        <f>Table5[[#This Row],[Client ID]]</f>
        <v>C0155</v>
      </c>
      <c r="B156" s="7">
        <v>46367</v>
      </c>
      <c r="C156" t="str">
        <f>client!B156</f>
        <v>Sigma Solutions Works</v>
      </c>
      <c r="D156" t="str">
        <f>Table5[[#This Row],[Contact Person]]</f>
        <v>Suresh Reddy</v>
      </c>
      <c r="E156">
        <f>Table5[[#This Row],[Phone]]</f>
        <v>9746401565</v>
      </c>
      <c r="F156" s="34" t="s">
        <v>2388</v>
      </c>
      <c r="G156">
        <f>_xlfn.XLOOKUP(F156,Table6[Service Name],Table6[Unit Price])</f>
        <v>5000</v>
      </c>
      <c r="H156" t="s">
        <v>2482</v>
      </c>
    </row>
    <row r="157" spans="1:8" x14ac:dyDescent="0.25">
      <c r="A157" t="str">
        <f>Table5[[#This Row],[Client ID]]</f>
        <v>C0156</v>
      </c>
      <c r="B157" s="7">
        <v>46368</v>
      </c>
      <c r="C157" t="str">
        <f>client!B157</f>
        <v>Nova Manufacturing Enterprises</v>
      </c>
      <c r="D157" t="str">
        <f>Table5[[#This Row],[Contact Person]]</f>
        <v>Neha Jain</v>
      </c>
      <c r="E157">
        <f>Table5[[#This Row],[Phone]]</f>
        <v>9603522284</v>
      </c>
      <c r="F157" s="35" t="s">
        <v>2390</v>
      </c>
      <c r="G157">
        <f>_xlfn.XLOOKUP(F157,Table6[Service Name],Table6[Unit Price])</f>
        <v>25500</v>
      </c>
      <c r="H157" t="s">
        <v>2481</v>
      </c>
    </row>
    <row r="158" spans="1:8" x14ac:dyDescent="0.25">
      <c r="A158" t="str">
        <f>Table5[[#This Row],[Client ID]]</f>
        <v>C0157</v>
      </c>
      <c r="B158" s="7">
        <v>46369</v>
      </c>
      <c r="C158" t="str">
        <f>client!B158</f>
        <v>Sigma Systems Technologies</v>
      </c>
      <c r="D158" t="str">
        <f>Table5[[#This Row],[Contact Person]]</f>
        <v>Amit Agarwal</v>
      </c>
      <c r="E158">
        <f>Table5[[#This Row],[Phone]]</f>
        <v>9316933609</v>
      </c>
      <c r="F158" s="34" t="s">
        <v>2392</v>
      </c>
      <c r="G158">
        <f>_xlfn.XLOOKUP(F158,Table6[Service Name],Table6[Unit Price])</f>
        <v>10500</v>
      </c>
      <c r="H158" t="s">
        <v>61</v>
      </c>
    </row>
    <row r="159" spans="1:8" x14ac:dyDescent="0.25">
      <c r="A159" t="str">
        <f>Table5[[#This Row],[Client ID]]</f>
        <v>C0158</v>
      </c>
      <c r="B159" s="7">
        <v>46370</v>
      </c>
      <c r="C159" t="str">
        <f>client!B159</f>
        <v>Everest Traders Solutions</v>
      </c>
      <c r="D159" t="str">
        <f>Table5[[#This Row],[Contact Person]]</f>
        <v>Aditya Reddy</v>
      </c>
      <c r="E159">
        <f>Table5[[#This Row],[Phone]]</f>
        <v>9986201964</v>
      </c>
      <c r="F159" s="35" t="s">
        <v>2394</v>
      </c>
      <c r="G159">
        <f>_xlfn.XLOOKUP(F159,Table6[Service Name],Table6[Unit Price])</f>
        <v>45000</v>
      </c>
      <c r="H159" t="s">
        <v>2481</v>
      </c>
    </row>
    <row r="160" spans="1:8" x14ac:dyDescent="0.25">
      <c r="A160" t="str">
        <f>Table5[[#This Row],[Client ID]]</f>
        <v>C0159</v>
      </c>
      <c r="B160" s="7">
        <v>46371</v>
      </c>
      <c r="C160" t="str">
        <f>client!B160</f>
        <v>Green Logistics Group</v>
      </c>
      <c r="D160" t="str">
        <f>Table5[[#This Row],[Contact Person]]</f>
        <v>Aditya Patel</v>
      </c>
      <c r="E160">
        <f>Table5[[#This Row],[Phone]]</f>
        <v>9635062306</v>
      </c>
      <c r="F160" s="34" t="s">
        <v>2396</v>
      </c>
      <c r="G160">
        <f>_xlfn.XLOOKUP(F160,Table6[Service Name],Table6[Unit Price])</f>
        <v>16000</v>
      </c>
      <c r="H160" t="s">
        <v>2482</v>
      </c>
    </row>
    <row r="161" spans="1:8" x14ac:dyDescent="0.25">
      <c r="A161" t="str">
        <f>Table5[[#This Row],[Client ID]]</f>
        <v>C0160</v>
      </c>
      <c r="B161" s="7">
        <v>46372</v>
      </c>
      <c r="C161" t="str">
        <f>client!B161</f>
        <v>Urban Textiles Works</v>
      </c>
      <c r="D161" t="str">
        <f>Table5[[#This Row],[Contact Person]]</f>
        <v>Meera Verma</v>
      </c>
      <c r="E161">
        <f>Table5[[#This Row],[Phone]]</f>
        <v>9530860990</v>
      </c>
      <c r="F161" s="35" t="s">
        <v>2398</v>
      </c>
      <c r="G161">
        <f>_xlfn.XLOOKUP(F161,Table6[Service Name],Table6[Unit Price])</f>
        <v>44500</v>
      </c>
      <c r="H161" t="s">
        <v>2481</v>
      </c>
    </row>
    <row r="162" spans="1:8" x14ac:dyDescent="0.25">
      <c r="F162" s="39"/>
    </row>
    <row r="163" spans="1:8" x14ac:dyDescent="0.25">
      <c r="F163" s="40"/>
    </row>
    <row r="164" spans="1:8" x14ac:dyDescent="0.25">
      <c r="F164" s="41"/>
    </row>
    <row r="165" spans="1:8" x14ac:dyDescent="0.25">
      <c r="F165" s="39"/>
    </row>
    <row r="166" spans="1:8" x14ac:dyDescent="0.25">
      <c r="F166" s="41"/>
    </row>
    <row r="167" spans="1:8" x14ac:dyDescent="0.25">
      <c r="F167" s="39"/>
    </row>
    <row r="168" spans="1:8" x14ac:dyDescent="0.25">
      <c r="F168" s="41"/>
    </row>
    <row r="169" spans="1:8" x14ac:dyDescent="0.25">
      <c r="F169" s="39"/>
    </row>
    <row r="170" spans="1:8" x14ac:dyDescent="0.25">
      <c r="F170" s="41"/>
    </row>
    <row r="171" spans="1:8" x14ac:dyDescent="0.25">
      <c r="F171" s="39"/>
    </row>
    <row r="172" spans="1:8" x14ac:dyDescent="0.25">
      <c r="F172" s="41"/>
    </row>
    <row r="173" spans="1:8" x14ac:dyDescent="0.25">
      <c r="F173" s="39"/>
    </row>
    <row r="174" spans="1:8" x14ac:dyDescent="0.25">
      <c r="F174" s="41"/>
    </row>
    <row r="175" spans="1:8" x14ac:dyDescent="0.25">
      <c r="F175" s="40"/>
    </row>
    <row r="176" spans="1:8" x14ac:dyDescent="0.25">
      <c r="F176" s="41"/>
    </row>
    <row r="177" spans="6:6" x14ac:dyDescent="0.25">
      <c r="F177" s="39"/>
    </row>
    <row r="178" spans="6:6" x14ac:dyDescent="0.25">
      <c r="F178" s="41"/>
    </row>
    <row r="179" spans="6:6" x14ac:dyDescent="0.25">
      <c r="F179" s="39"/>
    </row>
    <row r="180" spans="6:6" x14ac:dyDescent="0.25">
      <c r="F180" s="41"/>
    </row>
    <row r="181" spans="6:6" x14ac:dyDescent="0.25">
      <c r="F181" s="39"/>
    </row>
    <row r="182" spans="6:6" x14ac:dyDescent="0.25">
      <c r="F182" s="41"/>
    </row>
    <row r="183" spans="6:6" x14ac:dyDescent="0.25">
      <c r="F183" s="39"/>
    </row>
    <row r="184" spans="6:6" x14ac:dyDescent="0.25">
      <c r="F184" s="41"/>
    </row>
    <row r="185" spans="6:6" x14ac:dyDescent="0.25">
      <c r="F185" s="39"/>
    </row>
    <row r="186" spans="6:6" x14ac:dyDescent="0.25">
      <c r="F186" s="41"/>
    </row>
    <row r="187" spans="6:6" x14ac:dyDescent="0.25">
      <c r="F187" s="39"/>
    </row>
    <row r="188" spans="6:6" x14ac:dyDescent="0.25">
      <c r="F188" s="41"/>
    </row>
    <row r="189" spans="6:6" x14ac:dyDescent="0.25">
      <c r="F189" s="39"/>
    </row>
    <row r="190" spans="6:6" x14ac:dyDescent="0.25">
      <c r="F190" s="41"/>
    </row>
    <row r="191" spans="6:6" x14ac:dyDescent="0.25">
      <c r="F191" s="39"/>
    </row>
    <row r="192" spans="6:6" x14ac:dyDescent="0.25">
      <c r="F192" s="41"/>
    </row>
    <row r="193" spans="6:6" x14ac:dyDescent="0.25">
      <c r="F193" s="39"/>
    </row>
    <row r="194" spans="6:6" x14ac:dyDescent="0.25">
      <c r="F194" s="41"/>
    </row>
    <row r="195" spans="6:6" x14ac:dyDescent="0.25">
      <c r="F195" s="39"/>
    </row>
    <row r="196" spans="6:6" x14ac:dyDescent="0.25">
      <c r="F196" s="41"/>
    </row>
    <row r="197" spans="6:6" x14ac:dyDescent="0.25">
      <c r="F197" s="39"/>
    </row>
    <row r="198" spans="6:6" x14ac:dyDescent="0.25">
      <c r="F198" s="41"/>
    </row>
    <row r="199" spans="6:6" x14ac:dyDescent="0.25">
      <c r="F199" s="39"/>
    </row>
    <row r="200" spans="6:6" x14ac:dyDescent="0.25">
      <c r="F200" s="41"/>
    </row>
    <row r="201" spans="6:6" x14ac:dyDescent="0.25">
      <c r="F201" s="39"/>
    </row>
    <row r="202" spans="6:6" x14ac:dyDescent="0.25">
      <c r="F202" s="41"/>
    </row>
    <row r="203" spans="6:6" x14ac:dyDescent="0.25">
      <c r="F203" s="39"/>
    </row>
    <row r="204" spans="6:6" x14ac:dyDescent="0.25">
      <c r="F204" s="41"/>
    </row>
    <row r="205" spans="6:6" x14ac:dyDescent="0.25">
      <c r="F205" s="39"/>
    </row>
    <row r="206" spans="6:6" x14ac:dyDescent="0.25">
      <c r="F206" s="41"/>
    </row>
    <row r="207" spans="6:6" x14ac:dyDescent="0.25">
      <c r="F207" s="39"/>
    </row>
    <row r="208" spans="6:6" x14ac:dyDescent="0.25">
      <c r="F208" s="41"/>
    </row>
    <row r="209" spans="6:6" x14ac:dyDescent="0.25">
      <c r="F209" s="39"/>
    </row>
    <row r="210" spans="6:6" x14ac:dyDescent="0.25">
      <c r="F210" s="41"/>
    </row>
    <row r="211" spans="6:6" x14ac:dyDescent="0.25">
      <c r="F211" s="39"/>
    </row>
    <row r="212" spans="6:6" x14ac:dyDescent="0.25">
      <c r="F212" s="41"/>
    </row>
    <row r="213" spans="6:6" x14ac:dyDescent="0.25">
      <c r="F213" s="39"/>
    </row>
    <row r="214" spans="6:6" x14ac:dyDescent="0.25">
      <c r="F214" s="41"/>
    </row>
    <row r="215" spans="6:6" x14ac:dyDescent="0.25">
      <c r="F215" s="39"/>
    </row>
    <row r="216" spans="6:6" x14ac:dyDescent="0.25">
      <c r="F216" s="41"/>
    </row>
    <row r="217" spans="6:6" x14ac:dyDescent="0.25">
      <c r="F217" s="39"/>
    </row>
    <row r="218" spans="6:6" x14ac:dyDescent="0.25">
      <c r="F218" s="41"/>
    </row>
    <row r="219" spans="6:6" x14ac:dyDescent="0.25">
      <c r="F219" s="39"/>
    </row>
    <row r="220" spans="6:6" x14ac:dyDescent="0.25">
      <c r="F220" s="41"/>
    </row>
    <row r="221" spans="6:6" x14ac:dyDescent="0.25">
      <c r="F221" s="39"/>
    </row>
    <row r="222" spans="6:6" x14ac:dyDescent="0.25">
      <c r="F222" s="41"/>
    </row>
    <row r="223" spans="6:6" x14ac:dyDescent="0.25">
      <c r="F223" s="39"/>
    </row>
    <row r="224" spans="6:6" x14ac:dyDescent="0.25">
      <c r="F224" s="41"/>
    </row>
    <row r="225" spans="6:6" x14ac:dyDescent="0.25">
      <c r="F225" s="39"/>
    </row>
    <row r="226" spans="6:6" x14ac:dyDescent="0.25">
      <c r="F226" s="41"/>
    </row>
    <row r="227" spans="6:6" x14ac:dyDescent="0.25">
      <c r="F227" s="39"/>
    </row>
    <row r="228" spans="6:6" x14ac:dyDescent="0.25">
      <c r="F228" s="41"/>
    </row>
    <row r="229" spans="6:6" x14ac:dyDescent="0.25">
      <c r="F229" s="39"/>
    </row>
    <row r="230" spans="6:6" x14ac:dyDescent="0.25">
      <c r="F230" s="41"/>
    </row>
    <row r="231" spans="6:6" x14ac:dyDescent="0.25">
      <c r="F231" s="39"/>
    </row>
    <row r="232" spans="6:6" x14ac:dyDescent="0.25">
      <c r="F232" s="41"/>
    </row>
    <row r="233" spans="6:6" x14ac:dyDescent="0.25">
      <c r="F233" s="39"/>
    </row>
    <row r="234" spans="6:6" x14ac:dyDescent="0.25">
      <c r="F234" s="41"/>
    </row>
    <row r="235" spans="6:6" x14ac:dyDescent="0.25">
      <c r="F235" s="39"/>
    </row>
    <row r="236" spans="6:6" x14ac:dyDescent="0.25">
      <c r="F236" s="41"/>
    </row>
    <row r="237" spans="6:6" x14ac:dyDescent="0.25">
      <c r="F237" s="39"/>
    </row>
    <row r="238" spans="6:6" x14ac:dyDescent="0.25">
      <c r="F238" s="41"/>
    </row>
    <row r="239" spans="6:6" x14ac:dyDescent="0.25">
      <c r="F239" s="39"/>
    </row>
    <row r="240" spans="6:6" x14ac:dyDescent="0.25">
      <c r="F240" s="41"/>
    </row>
    <row r="241" spans="6:6" x14ac:dyDescent="0.25">
      <c r="F241" s="39"/>
    </row>
    <row r="242" spans="6:6" x14ac:dyDescent="0.25">
      <c r="F242" s="41"/>
    </row>
    <row r="243" spans="6:6" x14ac:dyDescent="0.25">
      <c r="F243" s="39"/>
    </row>
    <row r="244" spans="6:6" x14ac:dyDescent="0.25">
      <c r="F244" s="41"/>
    </row>
    <row r="245" spans="6:6" x14ac:dyDescent="0.25">
      <c r="F245" s="39"/>
    </row>
    <row r="246" spans="6:6" x14ac:dyDescent="0.25">
      <c r="F246" s="41"/>
    </row>
    <row r="247" spans="6:6" x14ac:dyDescent="0.25">
      <c r="F247" s="39"/>
    </row>
    <row r="248" spans="6:6" x14ac:dyDescent="0.25">
      <c r="F248" s="41"/>
    </row>
    <row r="249" spans="6:6" x14ac:dyDescent="0.25">
      <c r="F249" s="39"/>
    </row>
    <row r="250" spans="6:6" x14ac:dyDescent="0.25">
      <c r="F250" s="41"/>
    </row>
    <row r="251" spans="6:6" x14ac:dyDescent="0.25">
      <c r="F251" s="39"/>
    </row>
    <row r="252" spans="6:6" x14ac:dyDescent="0.25">
      <c r="F252" s="41"/>
    </row>
    <row r="253" spans="6:6" x14ac:dyDescent="0.25">
      <c r="F253" s="39"/>
    </row>
    <row r="254" spans="6:6" x14ac:dyDescent="0.25">
      <c r="F254" s="41"/>
    </row>
    <row r="255" spans="6:6" x14ac:dyDescent="0.25">
      <c r="F255" s="39"/>
    </row>
    <row r="256" spans="6:6" x14ac:dyDescent="0.25">
      <c r="F256" s="41"/>
    </row>
    <row r="257" spans="6:6" x14ac:dyDescent="0.25">
      <c r="F257" s="39"/>
    </row>
    <row r="258" spans="6:6" x14ac:dyDescent="0.25">
      <c r="F258" s="41"/>
    </row>
    <row r="259" spans="6:6" x14ac:dyDescent="0.25">
      <c r="F259" s="39"/>
    </row>
    <row r="260" spans="6:6" x14ac:dyDescent="0.25">
      <c r="F260" s="41"/>
    </row>
    <row r="261" spans="6:6" x14ac:dyDescent="0.25">
      <c r="F261" s="39"/>
    </row>
    <row r="262" spans="6:6" x14ac:dyDescent="0.25">
      <c r="F262" s="41"/>
    </row>
    <row r="263" spans="6:6" x14ac:dyDescent="0.25">
      <c r="F263" s="39"/>
    </row>
    <row r="264" spans="6:6" x14ac:dyDescent="0.25">
      <c r="F264" s="41"/>
    </row>
    <row r="265" spans="6:6" x14ac:dyDescent="0.25">
      <c r="F265" s="39"/>
    </row>
    <row r="266" spans="6:6" x14ac:dyDescent="0.25">
      <c r="F266" s="41"/>
    </row>
    <row r="267" spans="6:6" x14ac:dyDescent="0.25">
      <c r="F267" s="39"/>
    </row>
    <row r="268" spans="6:6" x14ac:dyDescent="0.25">
      <c r="F268" s="41"/>
    </row>
    <row r="269" spans="6:6" x14ac:dyDescent="0.25">
      <c r="F269" s="39"/>
    </row>
    <row r="270" spans="6:6" x14ac:dyDescent="0.25">
      <c r="F270" s="41"/>
    </row>
    <row r="271" spans="6:6" x14ac:dyDescent="0.25">
      <c r="F271" s="39"/>
    </row>
    <row r="272" spans="6:6" x14ac:dyDescent="0.25">
      <c r="F272" s="41"/>
    </row>
    <row r="273" spans="6:6" x14ac:dyDescent="0.25">
      <c r="F273" s="39"/>
    </row>
    <row r="274" spans="6:6" x14ac:dyDescent="0.25">
      <c r="F274" s="41"/>
    </row>
    <row r="275" spans="6:6" x14ac:dyDescent="0.25">
      <c r="F275" s="39"/>
    </row>
    <row r="276" spans="6:6" x14ac:dyDescent="0.25">
      <c r="F276" s="41"/>
    </row>
    <row r="277" spans="6:6" x14ac:dyDescent="0.25">
      <c r="F277" s="39"/>
    </row>
    <row r="278" spans="6:6" x14ac:dyDescent="0.25">
      <c r="F278" s="41"/>
    </row>
    <row r="279" spans="6:6" x14ac:dyDescent="0.25">
      <c r="F279" s="39"/>
    </row>
    <row r="280" spans="6:6" x14ac:dyDescent="0.25">
      <c r="F280" s="41"/>
    </row>
    <row r="281" spans="6:6" x14ac:dyDescent="0.25">
      <c r="F281" s="39"/>
    </row>
    <row r="282" spans="6:6" x14ac:dyDescent="0.25">
      <c r="F282" s="41"/>
    </row>
    <row r="283" spans="6:6" x14ac:dyDescent="0.25">
      <c r="F283" s="39"/>
    </row>
    <row r="284" spans="6:6" x14ac:dyDescent="0.25">
      <c r="F284" s="41"/>
    </row>
    <row r="285" spans="6:6" x14ac:dyDescent="0.25">
      <c r="F285" s="39"/>
    </row>
    <row r="286" spans="6:6" x14ac:dyDescent="0.25">
      <c r="F286" s="41"/>
    </row>
    <row r="287" spans="6:6" x14ac:dyDescent="0.25">
      <c r="F287" s="39"/>
    </row>
    <row r="288" spans="6:6" x14ac:dyDescent="0.25">
      <c r="F288" s="41"/>
    </row>
    <row r="289" spans="6:6" x14ac:dyDescent="0.25">
      <c r="F289" s="39"/>
    </row>
    <row r="290" spans="6:6" x14ac:dyDescent="0.25">
      <c r="F290" s="41"/>
    </row>
    <row r="291" spans="6:6" x14ac:dyDescent="0.25">
      <c r="F291" s="39"/>
    </row>
    <row r="292" spans="6:6" x14ac:dyDescent="0.25">
      <c r="F292" s="41"/>
    </row>
    <row r="293" spans="6:6" x14ac:dyDescent="0.25">
      <c r="F293" s="39"/>
    </row>
    <row r="294" spans="6:6" x14ac:dyDescent="0.25">
      <c r="F294" s="41"/>
    </row>
    <row r="295" spans="6:6" x14ac:dyDescent="0.25">
      <c r="F295" s="39"/>
    </row>
    <row r="296" spans="6:6" x14ac:dyDescent="0.25">
      <c r="F296" s="41"/>
    </row>
    <row r="297" spans="6:6" x14ac:dyDescent="0.25">
      <c r="F297" s="39"/>
    </row>
    <row r="298" spans="6:6" x14ac:dyDescent="0.25">
      <c r="F298" s="41"/>
    </row>
    <row r="299" spans="6:6" x14ac:dyDescent="0.25">
      <c r="F299" s="39"/>
    </row>
    <row r="300" spans="6:6" x14ac:dyDescent="0.25">
      <c r="F300" s="41"/>
    </row>
    <row r="301" spans="6:6" x14ac:dyDescent="0.25">
      <c r="F301" s="39"/>
    </row>
    <row r="302" spans="6:6" x14ac:dyDescent="0.25">
      <c r="F302" s="41"/>
    </row>
    <row r="303" spans="6:6" x14ac:dyDescent="0.25">
      <c r="F303" s="39"/>
    </row>
    <row r="304" spans="6:6" x14ac:dyDescent="0.25">
      <c r="F304" s="41"/>
    </row>
    <row r="305" spans="6:6" x14ac:dyDescent="0.25">
      <c r="F305" s="39"/>
    </row>
    <row r="306" spans="6:6" x14ac:dyDescent="0.25">
      <c r="F306" s="41"/>
    </row>
    <row r="307" spans="6:6" x14ac:dyDescent="0.25">
      <c r="F307" s="39"/>
    </row>
    <row r="308" spans="6:6" x14ac:dyDescent="0.25">
      <c r="F308" s="41"/>
    </row>
    <row r="309" spans="6:6" x14ac:dyDescent="0.25">
      <c r="F309" s="39"/>
    </row>
    <row r="310" spans="6:6" x14ac:dyDescent="0.25">
      <c r="F310" s="41"/>
    </row>
    <row r="311" spans="6:6" x14ac:dyDescent="0.25">
      <c r="F311" s="39"/>
    </row>
    <row r="312" spans="6:6" x14ac:dyDescent="0.25">
      <c r="F312" s="41"/>
    </row>
    <row r="313" spans="6:6" x14ac:dyDescent="0.25">
      <c r="F313" s="39"/>
    </row>
    <row r="314" spans="6:6" x14ac:dyDescent="0.25">
      <c r="F314" s="41"/>
    </row>
    <row r="315" spans="6:6" x14ac:dyDescent="0.25">
      <c r="F315" s="39"/>
    </row>
    <row r="316" spans="6:6" x14ac:dyDescent="0.25">
      <c r="F316" s="41"/>
    </row>
    <row r="317" spans="6:6" x14ac:dyDescent="0.25">
      <c r="F317" s="39"/>
    </row>
    <row r="318" spans="6:6" x14ac:dyDescent="0.25">
      <c r="F318" s="41"/>
    </row>
    <row r="319" spans="6:6" x14ac:dyDescent="0.25">
      <c r="F319" s="39"/>
    </row>
    <row r="320" spans="6:6" x14ac:dyDescent="0.25">
      <c r="F320" s="41"/>
    </row>
    <row r="321" spans="6:6" x14ac:dyDescent="0.25">
      <c r="F321" s="39"/>
    </row>
    <row r="322" spans="6:6" x14ac:dyDescent="0.25">
      <c r="F322" s="41"/>
    </row>
    <row r="323" spans="6:6" x14ac:dyDescent="0.25">
      <c r="F323" s="39"/>
    </row>
    <row r="324" spans="6:6" x14ac:dyDescent="0.25">
      <c r="F324" s="41"/>
    </row>
    <row r="325" spans="6:6" x14ac:dyDescent="0.25">
      <c r="F325" s="39"/>
    </row>
    <row r="326" spans="6:6" x14ac:dyDescent="0.25">
      <c r="F326" s="41"/>
    </row>
    <row r="327" spans="6:6" x14ac:dyDescent="0.25">
      <c r="F327" s="39"/>
    </row>
    <row r="328" spans="6:6" x14ac:dyDescent="0.25">
      <c r="F328" s="41"/>
    </row>
    <row r="329" spans="6:6" x14ac:dyDescent="0.25">
      <c r="F329" s="39"/>
    </row>
    <row r="330" spans="6:6" x14ac:dyDescent="0.25">
      <c r="F330" s="41"/>
    </row>
    <row r="331" spans="6:6" x14ac:dyDescent="0.25">
      <c r="F331" s="39"/>
    </row>
    <row r="332" spans="6:6" x14ac:dyDescent="0.25">
      <c r="F332" s="41"/>
    </row>
    <row r="333" spans="6:6" x14ac:dyDescent="0.25">
      <c r="F333" s="39"/>
    </row>
    <row r="334" spans="6:6" x14ac:dyDescent="0.25">
      <c r="F334" s="41"/>
    </row>
    <row r="335" spans="6:6" x14ac:dyDescent="0.25">
      <c r="F335" s="39"/>
    </row>
    <row r="336" spans="6:6" x14ac:dyDescent="0.25">
      <c r="F336" s="41"/>
    </row>
    <row r="337" spans="6:6" x14ac:dyDescent="0.25">
      <c r="F337" s="39"/>
    </row>
    <row r="338" spans="6:6" x14ac:dyDescent="0.25">
      <c r="F338" s="41"/>
    </row>
    <row r="339" spans="6:6" x14ac:dyDescent="0.25">
      <c r="F339" s="39"/>
    </row>
    <row r="340" spans="6:6" x14ac:dyDescent="0.25">
      <c r="F340" s="41"/>
    </row>
    <row r="341" spans="6:6" x14ac:dyDescent="0.25">
      <c r="F341" s="39"/>
    </row>
    <row r="342" spans="6:6" x14ac:dyDescent="0.25">
      <c r="F342" s="41"/>
    </row>
    <row r="343" spans="6:6" x14ac:dyDescent="0.25">
      <c r="F343" s="39"/>
    </row>
    <row r="344" spans="6:6" x14ac:dyDescent="0.25">
      <c r="F344" s="41"/>
    </row>
    <row r="345" spans="6:6" x14ac:dyDescent="0.25">
      <c r="F345" s="39"/>
    </row>
    <row r="346" spans="6:6" x14ac:dyDescent="0.25">
      <c r="F346" s="41"/>
    </row>
    <row r="347" spans="6:6" x14ac:dyDescent="0.25">
      <c r="F347" s="39"/>
    </row>
    <row r="348" spans="6:6" x14ac:dyDescent="0.25">
      <c r="F348" s="41"/>
    </row>
    <row r="349" spans="6:6" x14ac:dyDescent="0.25">
      <c r="F349" s="39"/>
    </row>
    <row r="350" spans="6:6" x14ac:dyDescent="0.25">
      <c r="F350" s="41"/>
    </row>
    <row r="351" spans="6:6" x14ac:dyDescent="0.25">
      <c r="F351" s="39"/>
    </row>
    <row r="352" spans="6:6" x14ac:dyDescent="0.25">
      <c r="F352" s="41"/>
    </row>
    <row r="353" spans="6:6" x14ac:dyDescent="0.25">
      <c r="F353" s="39"/>
    </row>
    <row r="354" spans="6:6" x14ac:dyDescent="0.25">
      <c r="F354" s="41"/>
    </row>
    <row r="355" spans="6:6" x14ac:dyDescent="0.25">
      <c r="F355" s="39"/>
    </row>
    <row r="356" spans="6:6" x14ac:dyDescent="0.25">
      <c r="F356" s="41"/>
    </row>
    <row r="357" spans="6:6" x14ac:dyDescent="0.25">
      <c r="F357" s="39"/>
    </row>
    <row r="358" spans="6:6" x14ac:dyDescent="0.25">
      <c r="F358" s="41"/>
    </row>
    <row r="359" spans="6:6" x14ac:dyDescent="0.25">
      <c r="F359" s="39"/>
    </row>
    <row r="360" spans="6:6" x14ac:dyDescent="0.25">
      <c r="F360" s="41"/>
    </row>
    <row r="361" spans="6:6" x14ac:dyDescent="0.25">
      <c r="F361" s="39"/>
    </row>
    <row r="362" spans="6:6" x14ac:dyDescent="0.25">
      <c r="F362" s="41"/>
    </row>
    <row r="363" spans="6:6" x14ac:dyDescent="0.25">
      <c r="F363" s="39"/>
    </row>
    <row r="364" spans="6:6" x14ac:dyDescent="0.25">
      <c r="F364" s="41"/>
    </row>
    <row r="365" spans="6:6" x14ac:dyDescent="0.25">
      <c r="F365" s="39"/>
    </row>
    <row r="366" spans="6:6" x14ac:dyDescent="0.25">
      <c r="F366" s="41"/>
    </row>
    <row r="367" spans="6:6" x14ac:dyDescent="0.25">
      <c r="F367" s="39"/>
    </row>
    <row r="368" spans="6:6" x14ac:dyDescent="0.25">
      <c r="F368" s="41"/>
    </row>
    <row r="369" spans="6:6" x14ac:dyDescent="0.25">
      <c r="F369" s="39"/>
    </row>
    <row r="370" spans="6:6" x14ac:dyDescent="0.25">
      <c r="F370" s="41"/>
    </row>
    <row r="371" spans="6:6" x14ac:dyDescent="0.25">
      <c r="F371" s="39"/>
    </row>
    <row r="372" spans="6:6" x14ac:dyDescent="0.25">
      <c r="F372" s="41"/>
    </row>
    <row r="373" spans="6:6" x14ac:dyDescent="0.25">
      <c r="F373" s="39"/>
    </row>
    <row r="374" spans="6:6" x14ac:dyDescent="0.25">
      <c r="F374" s="41"/>
    </row>
    <row r="375" spans="6:6" x14ac:dyDescent="0.25">
      <c r="F375" s="39"/>
    </row>
    <row r="376" spans="6:6" x14ac:dyDescent="0.25">
      <c r="F376" s="41"/>
    </row>
    <row r="377" spans="6:6" x14ac:dyDescent="0.25">
      <c r="F377" s="39"/>
    </row>
    <row r="378" spans="6:6" x14ac:dyDescent="0.25">
      <c r="F378" s="41"/>
    </row>
    <row r="379" spans="6:6" x14ac:dyDescent="0.25">
      <c r="F379" s="39"/>
    </row>
    <row r="380" spans="6:6" x14ac:dyDescent="0.25">
      <c r="F380" s="41"/>
    </row>
    <row r="381" spans="6:6" x14ac:dyDescent="0.25">
      <c r="F381" s="39"/>
    </row>
    <row r="382" spans="6:6" x14ac:dyDescent="0.25">
      <c r="F382" s="41"/>
    </row>
    <row r="383" spans="6:6" x14ac:dyDescent="0.25">
      <c r="F383" s="39"/>
    </row>
    <row r="384" spans="6:6" x14ac:dyDescent="0.25">
      <c r="F384" s="41"/>
    </row>
    <row r="385" spans="6:6" x14ac:dyDescent="0.25">
      <c r="F385" s="39"/>
    </row>
    <row r="386" spans="6:6" x14ac:dyDescent="0.25">
      <c r="F386" s="41"/>
    </row>
    <row r="387" spans="6:6" x14ac:dyDescent="0.25">
      <c r="F387" s="39"/>
    </row>
    <row r="388" spans="6:6" x14ac:dyDescent="0.25">
      <c r="F388" s="41"/>
    </row>
    <row r="389" spans="6:6" x14ac:dyDescent="0.25">
      <c r="F389" s="39"/>
    </row>
    <row r="390" spans="6:6" x14ac:dyDescent="0.25">
      <c r="F390" s="41"/>
    </row>
    <row r="391" spans="6:6" x14ac:dyDescent="0.25">
      <c r="F391" s="39"/>
    </row>
    <row r="392" spans="6:6" x14ac:dyDescent="0.25">
      <c r="F392" s="41"/>
    </row>
    <row r="393" spans="6:6" x14ac:dyDescent="0.25">
      <c r="F393" s="39"/>
    </row>
    <row r="394" spans="6:6" x14ac:dyDescent="0.25">
      <c r="F394" s="41"/>
    </row>
    <row r="395" spans="6:6" x14ac:dyDescent="0.25">
      <c r="F395" s="39"/>
    </row>
    <row r="396" spans="6:6" x14ac:dyDescent="0.25">
      <c r="F396" s="41"/>
    </row>
    <row r="397" spans="6:6" x14ac:dyDescent="0.25">
      <c r="F397" s="39"/>
    </row>
    <row r="398" spans="6:6" x14ac:dyDescent="0.25">
      <c r="F398" s="41"/>
    </row>
    <row r="399" spans="6:6" x14ac:dyDescent="0.25">
      <c r="F399" s="39"/>
    </row>
    <row r="400" spans="6:6" x14ac:dyDescent="0.25">
      <c r="F400" s="41"/>
    </row>
    <row r="401" spans="6:6" x14ac:dyDescent="0.25">
      <c r="F401" s="39"/>
    </row>
    <row r="402" spans="6:6" x14ac:dyDescent="0.25">
      <c r="F402" s="41"/>
    </row>
  </sheetData>
  <phoneticPr fontId="2" type="noConversion"/>
  <pageMargins left="0.7" right="0.7" top="0.75" bottom="0.75" header="0.3" footer="0.3"/>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6086-4745-41A2-9149-014062F86EBB}">
  <dimension ref="B2:S40"/>
  <sheetViews>
    <sheetView showGridLines="0" showRowColHeaders="0" zoomScale="103" zoomScaleNormal="85" workbookViewId="0">
      <selection activeCell="M27" sqref="M27"/>
    </sheetView>
  </sheetViews>
  <sheetFormatPr defaultRowHeight="15" x14ac:dyDescent="0.25"/>
  <cols>
    <col min="1" max="1" width="3.85546875" style="16" customWidth="1"/>
    <col min="2" max="19" width="16.140625" style="16" customWidth="1"/>
    <col min="20" max="16384" width="9.140625" style="16"/>
  </cols>
  <sheetData>
    <row r="2" spans="2:19" ht="34.5" customHeight="1" x14ac:dyDescent="0.3">
      <c r="B2" s="52" t="s">
        <v>2490</v>
      </c>
      <c r="C2" s="52"/>
      <c r="D2" s="52"/>
      <c r="E2" s="52"/>
      <c r="F2" s="52"/>
      <c r="G2" s="52"/>
      <c r="H2" s="52"/>
      <c r="I2" s="52"/>
      <c r="J2" s="52"/>
      <c r="K2" s="52"/>
      <c r="L2" s="52"/>
      <c r="M2" s="52"/>
      <c r="N2" s="52"/>
      <c r="O2" s="52"/>
      <c r="P2" s="52"/>
      <c r="Q2" s="52"/>
      <c r="R2" s="17"/>
      <c r="S2" s="17"/>
    </row>
    <row r="3" spans="2:19" ht="20.25" customHeight="1" x14ac:dyDescent="0.25"/>
    <row r="4" spans="2:19" ht="10.5" customHeight="1" x14ac:dyDescent="0.25"/>
    <row r="5" spans="2:19" ht="24.75" customHeight="1" x14ac:dyDescent="0.25"/>
    <row r="6" spans="2:19" ht="24.75" customHeight="1" x14ac:dyDescent="0.25"/>
    <row r="7" spans="2:19" ht="24.75" customHeight="1" x14ac:dyDescent="0.25"/>
    <row r="8" spans="2:19" ht="24.75" customHeight="1" x14ac:dyDescent="0.25"/>
    <row r="9" spans="2:19" ht="24.75" customHeight="1" x14ac:dyDescent="0.25"/>
    <row r="10" spans="2:19" ht="24.75" customHeight="1" x14ac:dyDescent="0.25"/>
    <row r="11" spans="2:19" ht="24.75" customHeight="1" x14ac:dyDescent="0.25"/>
    <row r="12" spans="2:19" ht="24.75" customHeight="1" x14ac:dyDescent="0.25"/>
    <row r="13" spans="2:19" ht="24.75" customHeight="1" x14ac:dyDescent="0.25"/>
    <row r="14" spans="2:19" ht="24.75" customHeight="1" x14ac:dyDescent="0.25"/>
    <row r="15" spans="2:19" ht="24.75" customHeight="1" x14ac:dyDescent="0.25"/>
    <row r="16" spans="2:19" ht="24.75" customHeight="1" x14ac:dyDescent="0.25"/>
    <row r="17" ht="24.75" customHeight="1" x14ac:dyDescent="0.25"/>
    <row r="18" ht="24.75" customHeight="1" x14ac:dyDescent="0.25"/>
    <row r="19" ht="24.75" customHeight="1" x14ac:dyDescent="0.25"/>
    <row r="20" ht="24.75" customHeight="1" x14ac:dyDescent="0.25"/>
    <row r="21" ht="24.75" customHeight="1" x14ac:dyDescent="0.25"/>
    <row r="22" ht="24.75" customHeight="1" x14ac:dyDescent="0.25"/>
    <row r="23" ht="24.75" customHeight="1" x14ac:dyDescent="0.25"/>
    <row r="24" ht="24.75" customHeight="1" x14ac:dyDescent="0.25"/>
    <row r="25" ht="24.75" customHeight="1" x14ac:dyDescent="0.25"/>
    <row r="26" ht="24.75" customHeight="1" x14ac:dyDescent="0.25"/>
    <row r="27" ht="24.75" customHeight="1" x14ac:dyDescent="0.25"/>
    <row r="28" ht="24.75" customHeight="1" x14ac:dyDescent="0.25"/>
    <row r="29" ht="24.75" customHeight="1" x14ac:dyDescent="0.25"/>
    <row r="30" ht="24.75" customHeight="1" x14ac:dyDescent="0.25"/>
    <row r="31" ht="24.75" customHeight="1" x14ac:dyDescent="0.25"/>
    <row r="32" ht="24.75" customHeight="1" x14ac:dyDescent="0.25"/>
    <row r="33" ht="24.75" customHeight="1" x14ac:dyDescent="0.25"/>
    <row r="34" ht="24.75" customHeight="1" x14ac:dyDescent="0.25"/>
    <row r="35" ht="24.75" customHeight="1" x14ac:dyDescent="0.25"/>
    <row r="36" ht="24.75" customHeight="1" x14ac:dyDescent="0.25"/>
    <row r="37" ht="24.75" customHeight="1" x14ac:dyDescent="0.25"/>
    <row r="38" ht="24.75" customHeight="1" x14ac:dyDescent="0.25"/>
    <row r="39" ht="24.75" customHeight="1" x14ac:dyDescent="0.25"/>
    <row r="40" ht="24.75" customHeight="1" x14ac:dyDescent="0.25"/>
  </sheetData>
  <mergeCells count="1">
    <mergeCell ref="B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client</vt:lpstr>
      <vt:lpstr>Services</vt:lpstr>
      <vt:lpstr>Invoice</vt:lpstr>
      <vt:lpstr>Invoice_tracker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THAKUR</dc:creator>
  <cp:lastModifiedBy>Shivam THAKUR</cp:lastModifiedBy>
  <dcterms:created xsi:type="dcterms:W3CDTF">2026-07-30T04:17:25Z</dcterms:created>
  <dcterms:modified xsi:type="dcterms:W3CDTF">2026-08-13T17:44:01Z</dcterms:modified>
</cp:coreProperties>
</file>