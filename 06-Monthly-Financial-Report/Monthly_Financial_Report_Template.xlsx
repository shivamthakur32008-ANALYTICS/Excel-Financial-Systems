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8ED3192B30C47D9/"/>
    </mc:Choice>
  </mc:AlternateContent>
  <xr:revisionPtr revIDLastSave="91" documentId="11_E50AFF6AEE78D735F83D574841D405F57FA77CB4" xr6:coauthVersionLast="47" xr6:coauthVersionMax="47" xr10:uidLastSave="{901E2413-0D5C-445C-9F88-0C2A147F4CAC}"/>
  <bookViews>
    <workbookView xWindow="-120" yWindow="-120" windowWidth="29040" windowHeight="16440" tabRatio="900" firstSheet="1" activeTab="6" xr2:uid="{00000000-000D-0000-FFFF-FFFF00000000}"/>
  </bookViews>
  <sheets>
    <sheet name="01 Cover" sheetId="1" r:id="rId1"/>
    <sheet name="02 Executive Dashboard" sheetId="2" r:id="rId2"/>
    <sheet name="03 Control &amp; Assumptions" sheetId="3" r:id="rId3"/>
    <sheet name="04 Data Input" sheetId="4" r:id="rId4"/>
    <sheet name="05 P&amp;L" sheetId="5" r:id="rId5"/>
    <sheet name="06 Balance Sheet" sheetId="6" r:id="rId6"/>
    <sheet name="07 Cash Flow" sheetId="7" r:id="rId7"/>
    <sheet name="08 Budget vs Actual" sheetId="8" r:id="rId8"/>
    <sheet name="09 KPI Analysis" sheetId="9" r:id="rId9"/>
    <sheet name="10 Variance Analysis" sheetId="10" r:id="rId10"/>
    <sheet name="11 AR Aging" sheetId="11" r:id="rId11"/>
    <sheet name="12 AP Aging" sheetId="12" r:id="rId12"/>
    <sheet name="13 Expense Analysis" sheetId="13" r:id="rId13"/>
    <sheet name="14 Monthly Trends" sheetId="14" r:id="rId14"/>
    <sheet name="15 Notes &amp; Commentary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2" l="1"/>
  <c r="I7" i="12" s="1"/>
  <c r="G7" i="12"/>
  <c r="H6" i="12"/>
  <c r="I6" i="12" s="1"/>
  <c r="G6" i="12"/>
  <c r="H5" i="12"/>
  <c r="I5" i="12" s="1"/>
  <c r="G5" i="12"/>
  <c r="H7" i="11"/>
  <c r="I7" i="11" s="1"/>
  <c r="G7" i="11"/>
  <c r="H6" i="11"/>
  <c r="I6" i="11" s="1"/>
  <c r="G6" i="11"/>
  <c r="H5" i="11"/>
  <c r="I5" i="11" s="1"/>
  <c r="G5" i="11"/>
  <c r="B17" i="9"/>
  <c r="B5" i="9"/>
  <c r="C8" i="8"/>
  <c r="B8" i="8"/>
  <c r="D8" i="8" s="1"/>
  <c r="B24" i="7"/>
  <c r="B18" i="7"/>
  <c r="B26" i="6"/>
  <c r="B24" i="6"/>
  <c r="B23" i="6"/>
  <c r="B21" i="6"/>
  <c r="B20" i="6"/>
  <c r="B19" i="6"/>
  <c r="B16" i="6" s="1"/>
  <c r="B18" i="6"/>
  <c r="B15" i="6"/>
  <c r="B14" i="6"/>
  <c r="B13" i="6"/>
  <c r="B11" i="6"/>
  <c r="B10" i="6"/>
  <c r="B9" i="6"/>
  <c r="B10" i="9" s="1"/>
  <c r="B8" i="6"/>
  <c r="B7" i="6"/>
  <c r="C31" i="5"/>
  <c r="D31" i="5" s="1"/>
  <c r="B31" i="5"/>
  <c r="C30" i="5"/>
  <c r="B30" i="5"/>
  <c r="D30" i="5" s="1"/>
  <c r="C29" i="5"/>
  <c r="D29" i="5" s="1"/>
  <c r="B29" i="5"/>
  <c r="B7" i="7" s="1"/>
  <c r="D26" i="5"/>
  <c r="C26" i="5"/>
  <c r="B26" i="5"/>
  <c r="C25" i="5"/>
  <c r="B25" i="5"/>
  <c r="D25" i="5" s="1"/>
  <c r="C24" i="5"/>
  <c r="B24" i="5"/>
  <c r="D24" i="5" s="1"/>
  <c r="C23" i="5"/>
  <c r="C10" i="13" s="1"/>
  <c r="B23" i="5"/>
  <c r="B10" i="13" s="1"/>
  <c r="E10" i="13" s="1"/>
  <c r="C22" i="5"/>
  <c r="C9" i="13" s="1"/>
  <c r="B22" i="5"/>
  <c r="D22" i="5" s="1"/>
  <c r="C21" i="5"/>
  <c r="D21" i="5" s="1"/>
  <c r="B21" i="5"/>
  <c r="B8" i="13" s="1"/>
  <c r="E8" i="13" s="1"/>
  <c r="D20" i="5"/>
  <c r="C20" i="5"/>
  <c r="C7" i="13" s="1"/>
  <c r="B20" i="5"/>
  <c r="B7" i="13" s="1"/>
  <c r="E7" i="13" s="1"/>
  <c r="C19" i="5"/>
  <c r="C6" i="13" s="1"/>
  <c r="D6" i="13" s="1"/>
  <c r="B19" i="5"/>
  <c r="B6" i="13" s="1"/>
  <c r="E6" i="13" s="1"/>
  <c r="D18" i="5"/>
  <c r="C18" i="5"/>
  <c r="C27" i="5" s="1"/>
  <c r="B9" i="8" s="1"/>
  <c r="B18" i="5"/>
  <c r="B27" i="5" s="1"/>
  <c r="B15" i="5"/>
  <c r="D15" i="5" s="1"/>
  <c r="C14" i="5"/>
  <c r="D14" i="5" s="1"/>
  <c r="B14" i="5"/>
  <c r="C13" i="5"/>
  <c r="B13" i="5"/>
  <c r="D13" i="5" s="1"/>
  <c r="C12" i="5"/>
  <c r="C15" i="5" s="1"/>
  <c r="B6" i="8" s="1"/>
  <c r="B12" i="5"/>
  <c r="D11" i="5"/>
  <c r="C11" i="5"/>
  <c r="B11" i="5"/>
  <c r="D8" i="5"/>
  <c r="C8" i="5"/>
  <c r="B8" i="5"/>
  <c r="C7" i="5"/>
  <c r="B7" i="5"/>
  <c r="D7" i="5" s="1"/>
  <c r="C6" i="5"/>
  <c r="C9" i="5" s="1"/>
  <c r="B6" i="5"/>
  <c r="D6" i="5" s="1"/>
  <c r="D50" i="2"/>
  <c r="C50" i="2"/>
  <c r="B50" i="2"/>
  <c r="D49" i="2"/>
  <c r="C49" i="2"/>
  <c r="B49" i="2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C9" i="2"/>
  <c r="D9" i="2" s="1"/>
  <c r="B9" i="2"/>
  <c r="D7" i="13" l="1"/>
  <c r="F8" i="8"/>
  <c r="E8" i="8"/>
  <c r="B15" i="12"/>
  <c r="B14" i="12"/>
  <c r="B13" i="12"/>
  <c r="B12" i="12"/>
  <c r="B11" i="12"/>
  <c r="D10" i="13"/>
  <c r="B5" i="8"/>
  <c r="C16" i="5"/>
  <c r="C5" i="2"/>
  <c r="B9" i="9"/>
  <c r="C9" i="8"/>
  <c r="D9" i="8" s="1"/>
  <c r="D27" i="5"/>
  <c r="B12" i="11"/>
  <c r="B11" i="11"/>
  <c r="B13" i="11"/>
  <c r="B15" i="11"/>
  <c r="B14" i="11"/>
  <c r="D9" i="13"/>
  <c r="B5" i="13"/>
  <c r="E5" i="13" s="1"/>
  <c r="B9" i="13"/>
  <c r="E9" i="13" s="1"/>
  <c r="C5" i="13"/>
  <c r="D5" i="13" s="1"/>
  <c r="D19" i="5"/>
  <c r="B5" i="6"/>
  <c r="B7" i="8"/>
  <c r="D7" i="8" s="1"/>
  <c r="C7" i="8"/>
  <c r="D23" i="5"/>
  <c r="C8" i="13"/>
  <c r="D8" i="13" s="1"/>
  <c r="B9" i="5"/>
  <c r="D12" i="5"/>
  <c r="C6" i="8"/>
  <c r="D6" i="8" s="1"/>
  <c r="E6" i="8" l="1"/>
  <c r="F6" i="8"/>
  <c r="F9" i="8"/>
  <c r="E9" i="8"/>
  <c r="E7" i="8"/>
  <c r="F7" i="8"/>
  <c r="C6" i="2"/>
  <c r="C28" i="5"/>
  <c r="D5" i="2"/>
  <c r="C5" i="8"/>
  <c r="D5" i="8" s="1"/>
  <c r="B16" i="5"/>
  <c r="D9" i="5"/>
  <c r="B5" i="2"/>
  <c r="C7" i="2" l="1"/>
  <c r="C32" i="5"/>
  <c r="B10" i="8"/>
  <c r="B6" i="9"/>
  <c r="B6" i="2"/>
  <c r="D6" i="2"/>
  <c r="D16" i="5"/>
  <c r="B28" i="5"/>
  <c r="F5" i="8"/>
  <c r="E5" i="8"/>
  <c r="B32" i="5" l="1"/>
  <c r="B7" i="2"/>
  <c r="B7" i="9"/>
  <c r="D28" i="5"/>
  <c r="C10" i="8"/>
  <c r="D10" i="8" s="1"/>
  <c r="D7" i="2"/>
  <c r="B11" i="8"/>
  <c r="C8" i="2"/>
  <c r="F10" i="8" l="1"/>
  <c r="E10" i="8"/>
  <c r="D32" i="5"/>
  <c r="C11" i="8"/>
  <c r="D11" i="8" s="1"/>
  <c r="B6" i="7"/>
  <c r="B12" i="7" s="1"/>
  <c r="B25" i="7" s="1"/>
  <c r="B28" i="6"/>
  <c r="B27" i="6" s="1"/>
  <c r="B25" i="6" s="1"/>
  <c r="D8" i="2"/>
  <c r="B8" i="9"/>
  <c r="B13" i="9"/>
  <c r="B8" i="2"/>
  <c r="B29" i="6" l="1"/>
  <c r="B30" i="6" s="1"/>
  <c r="B15" i="2" s="1"/>
  <c r="B11" i="9"/>
  <c r="F11" i="8"/>
  <c r="E11" i="8"/>
  <c r="B26" i="7"/>
  <c r="B27" i="7" s="1"/>
  <c r="B28" i="7" s="1"/>
  <c r="D15" i="2" s="1"/>
  <c r="B12" i="9"/>
</calcChain>
</file>

<file path=xl/sharedStrings.xml><?xml version="1.0" encoding="utf-8"?>
<sst xmlns="http://schemas.openxmlformats.org/spreadsheetml/2006/main" count="426" uniqueCount="251">
  <si>
    <t>ABC PRIVATE LIMITED</t>
  </si>
  <si>
    <t>MONTHLY FINANCIAL REPORT</t>
  </si>
  <si>
    <t>August 2026  |  FY 2026–27</t>
  </si>
  <si>
    <t>Prepared By</t>
  </si>
  <si>
    <t>Finance Department</t>
  </si>
  <si>
    <t>Reviewed By</t>
  </si>
  <si>
    <t>Management</t>
  </si>
  <si>
    <t>Report Date</t>
  </si>
  <si>
    <t>31-Aug-2026</t>
  </si>
  <si>
    <t>Version</t>
  </si>
  <si>
    <t>1.0</t>
  </si>
  <si>
    <t>Status</t>
  </si>
  <si>
    <t>Final</t>
  </si>
  <si>
    <t>Confidentiality</t>
  </si>
  <si>
    <t>Management Use Only</t>
  </si>
  <si>
    <t>CONFIDENTIAL – MANAGEMENT USE ONLY</t>
  </si>
  <si>
    <t>EXECUTIVE DASHBOARD</t>
  </si>
  <si>
    <t>Monthly Financial Report | August 2026 | Confidential</t>
  </si>
  <si>
    <t>← Dashboard</t>
  </si>
  <si>
    <t>🏠 Home</t>
  </si>
  <si>
    <t>→ Control &amp; Assumptions</t>
  </si>
  <si>
    <t>KPI</t>
  </si>
  <si>
    <t>Actual</t>
  </si>
  <si>
    <t>Budget</t>
  </si>
  <si>
    <t>Variance</t>
  </si>
  <si>
    <t>Revenue</t>
  </si>
  <si>
    <t>Gross Profit</t>
  </si>
  <si>
    <t>EBITDA</t>
  </si>
  <si>
    <t>Net Profit</t>
  </si>
  <si>
    <t>Cash Balance</t>
  </si>
  <si>
    <t>Management Summary</t>
  </si>
  <si>
    <t>Key Highlights</t>
  </si>
  <si>
    <t>Revenue above budget; EBITDA strengthened</t>
  </si>
  <si>
    <t>Key Concerns</t>
  </si>
  <si>
    <t>Salaries above budget; monitor receivables</t>
  </si>
  <si>
    <t>Management Actions</t>
  </si>
  <si>
    <t>Cost optimization, collections, revenue initiatives</t>
  </si>
  <si>
    <t>Model Status</t>
  </si>
  <si>
    <t>Cash Flow</t>
  </si>
  <si>
    <t>Input Guide</t>
  </si>
  <si>
    <t>Yellow = Input | Blue = Formula | Green = Output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</si>
  <si>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</si>
  <si>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</si>
  <si>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</si>
  <si>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</si>
  <si>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</si>
  <si>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</si>
  <si>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</si>
  <si>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</si>
  <si>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</si>
  <si>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</si>
  <si>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</si>
  <si>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</si>
  <si>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</si>
  <si>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CONTROL &amp; ASSUMPTIONS</t>
  </si>
  <si>
    <t>→ Data Input</t>
  </si>
  <si>
    <t>Report Controls</t>
  </si>
  <si>
    <t>Company Name</t>
  </si>
  <si>
    <t>Reporting Month</t>
  </si>
  <si>
    <t>August 2026</t>
  </si>
  <si>
    <t>Financial Year</t>
  </si>
  <si>
    <t>FY 2026–27</t>
  </si>
  <si>
    <t>Currency</t>
  </si>
  <si>
    <t>INR</t>
  </si>
  <si>
    <t>Scenario</t>
  </si>
  <si>
    <t>Assumptions</t>
  </si>
  <si>
    <t>Revenue Recognition</t>
  </si>
  <si>
    <t>Accrual basis</t>
  </si>
  <si>
    <t>Depreciation Method</t>
  </si>
  <si>
    <t>Straight-line</t>
  </si>
  <si>
    <t>Tax Rate</t>
  </si>
  <si>
    <t>FX Assumption</t>
  </si>
  <si>
    <t>No material FX exposure</t>
  </si>
  <si>
    <t>Budget Assumption</t>
  </si>
  <si>
    <t>Approved FY26–27 budget</t>
  </si>
  <si>
    <t>Headcount Assumption</t>
  </si>
  <si>
    <t>New hires per approved plan</t>
  </si>
  <si>
    <t>Input Convention</t>
  </si>
  <si>
    <t>Yellow cells are editable</t>
  </si>
  <si>
    <t>DATA INPUT</t>
  </si>
  <si>
    <t>Yellow cells = user input | Blue cells = formulas | Green cells = final output</t>
  </si>
  <si>
    <t>→ P&amp;L</t>
  </si>
  <si>
    <t>Current Month Actuals &amp; Budget</t>
  </si>
  <si>
    <t>Account</t>
  </si>
  <si>
    <t>Category</t>
  </si>
  <si>
    <t>Balance Sheet Input</t>
  </si>
  <si>
    <t>Product Revenue</t>
  </si>
  <si>
    <t>Cash &amp; Bank</t>
  </si>
  <si>
    <t>Service Revenue</t>
  </si>
  <si>
    <t>Accounts Receivable</t>
  </si>
  <si>
    <t>Other Revenue</t>
  </si>
  <si>
    <t>Inventory</t>
  </si>
  <si>
    <t>Material Cost</t>
  </si>
  <si>
    <t>COGS</t>
  </si>
  <si>
    <t>Prepaid Expenses</t>
  </si>
  <si>
    <t>Direct Labour</t>
  </si>
  <si>
    <t>Other Current Assets</t>
  </si>
  <si>
    <t>Production Cost</t>
  </si>
  <si>
    <t>PPE</t>
  </si>
  <si>
    <t>Other COGS</t>
  </si>
  <si>
    <t>Intangible Assets</t>
  </si>
  <si>
    <t>Salaries</t>
  </si>
  <si>
    <t>Opex</t>
  </si>
  <si>
    <t>Other Assets</t>
  </si>
  <si>
    <t>Rent</t>
  </si>
  <si>
    <t>Accounts Payable</t>
  </si>
  <si>
    <t>Marketing</t>
  </si>
  <si>
    <t>Short-term Borrowings</t>
  </si>
  <si>
    <t>IT</t>
  </si>
  <si>
    <t>Accrued Expenses</t>
  </si>
  <si>
    <t>Travel</t>
  </si>
  <si>
    <t>Taxes Payable</t>
  </si>
  <si>
    <t>Professional Fees</t>
  </si>
  <si>
    <t>Long-term Debt</t>
  </si>
  <si>
    <t>Utilities</t>
  </si>
  <si>
    <t>Other Long-term Liabilities</t>
  </si>
  <si>
    <t>Insurance</t>
  </si>
  <si>
    <t>Share Capital</t>
  </si>
  <si>
    <t>Other Opex</t>
  </si>
  <si>
    <t>Depreciation</t>
  </si>
  <si>
    <t>Below EBITDA</t>
  </si>
  <si>
    <t>Interest</t>
  </si>
  <si>
    <t>Tax</t>
  </si>
  <si>
    <t>MONTHLY PROFIT &amp; LOSS</t>
  </si>
  <si>
    <t>→ Balance Sheet</t>
  </si>
  <si>
    <t>Particular</t>
  </si>
  <si>
    <t>Total Revenue</t>
  </si>
  <si>
    <t>Cost of Sales</t>
  </si>
  <si>
    <t>Total COGS</t>
  </si>
  <si>
    <t>Operating Expenses</t>
  </si>
  <si>
    <t>Total Operating Expenses</t>
  </si>
  <si>
    <t>Net Profit / Loss</t>
  </si>
  <si>
    <t>MONTHLY BALANCE SHEET</t>
  </si>
  <si>
    <t>→ Cash Flow</t>
  </si>
  <si>
    <t>Amount</t>
  </si>
  <si>
    <t>Assets</t>
  </si>
  <si>
    <t>Current Assets</t>
  </si>
  <si>
    <t>Non-Current Assets</t>
  </si>
  <si>
    <t>Property, Plant &amp; Equipment</t>
  </si>
  <si>
    <t>Liabilities</t>
  </si>
  <si>
    <t>Current Liabilities</t>
  </si>
  <si>
    <t>Non-Current Liabilities</t>
  </si>
  <si>
    <t>Equity</t>
  </si>
  <si>
    <t>Retained Earnings</t>
  </si>
  <si>
    <t>Current Year Profit</t>
  </si>
  <si>
    <t>Total Liabilities + Equity</t>
  </si>
  <si>
    <t>Balance Check</t>
  </si>
  <si>
    <t>CASH FLOW STATEMENT</t>
  </si>
  <si>
    <t>→ Budget vs Actual</t>
  </si>
  <si>
    <t>Operating Activities</t>
  </si>
  <si>
    <t>Change in Receivables</t>
  </si>
  <si>
    <t>Change in Inventory</t>
  </si>
  <si>
    <t>Change in Payables</t>
  </si>
  <si>
    <t>Other Working Capital Changes</t>
  </si>
  <si>
    <t>Net Cash from Operations</t>
  </si>
  <si>
    <t>Investing Activities</t>
  </si>
  <si>
    <t>Capital Expenditure</t>
  </si>
  <si>
    <t>Asset Purchases</t>
  </si>
  <si>
    <t>Asset Sales</t>
  </si>
  <si>
    <t>Investments</t>
  </si>
  <si>
    <t>Net Cash from Investing</t>
  </si>
  <si>
    <t>Financing Activities</t>
  </si>
  <si>
    <t>Loan Proceeds</t>
  </si>
  <si>
    <t>Loan Repayment</t>
  </si>
  <si>
    <t>Equity Injection</t>
  </si>
  <si>
    <t>Dividends</t>
  </si>
  <si>
    <t>Net Cash from Financing</t>
  </si>
  <si>
    <t>Net Change in Cash</t>
  </si>
  <si>
    <t>Opening Cash</t>
  </si>
  <si>
    <t>Closing Cash</t>
  </si>
  <si>
    <t>Cash Reconciliation</t>
  </si>
  <si>
    <t>BUDGET VS ACTUAL</t>
  </si>
  <si>
    <t>→ KPI Analysis</t>
  </si>
  <si>
    <t>Variance %</t>
  </si>
  <si>
    <t>Total Opex</t>
  </si>
  <si>
    <t>KPI ANALYSIS</t>
  </si>
  <si>
    <t>→ Variance Analysis</t>
  </si>
  <si>
    <t>Financial KPI</t>
  </si>
  <si>
    <t>Current Month</t>
  </si>
  <si>
    <t>Revenue Growth %</t>
  </si>
  <si>
    <t>Gross Margin %</t>
  </si>
  <si>
    <t>EBITDA Margin %</t>
  </si>
  <si>
    <t>Net Profit Margin %</t>
  </si>
  <si>
    <t>Operating Expense %</t>
  </si>
  <si>
    <t>Current Ratio</t>
  </si>
  <si>
    <t>Debt-to-Equity</t>
  </si>
  <si>
    <t>ROE</t>
  </si>
  <si>
    <t>ROA</t>
  </si>
  <si>
    <t>DSO – Days Sales Outstanding</t>
  </si>
  <si>
    <t>DPO – Days Payable Outstanding</t>
  </si>
  <si>
    <t>Inventory Days</t>
  </si>
  <si>
    <t>Cash Conversion Cycle</t>
  </si>
  <si>
    <t>VARIANCE ANALYSIS</t>
  </si>
  <si>
    <t>→ AR Aging</t>
  </si>
  <si>
    <t>Reason</t>
  </si>
  <si>
    <t>Action</t>
  </si>
  <si>
    <t>Owner</t>
  </si>
  <si>
    <t>Higher product &amp; service sales</t>
  </si>
  <si>
    <t>Maintain sales momentum</t>
  </si>
  <si>
    <t>Sales</t>
  </si>
  <si>
    <t>New hires</t>
  </si>
  <si>
    <t>Review staffing plan</t>
  </si>
  <si>
    <t>HR</t>
  </si>
  <si>
    <t>Campaign timing</t>
  </si>
  <si>
    <t>Reallocate to high ROI channels</t>
  </si>
  <si>
    <t>Material cost inflation</t>
  </si>
  <si>
    <t>Negotiate suppliers</t>
  </si>
  <si>
    <t>Operations</t>
  </si>
  <si>
    <t>11 AR AGING</t>
  </si>
  <si>
    <t>→ AP Aging</t>
  </si>
  <si>
    <t>Customer</t>
  </si>
  <si>
    <t>Invoice Number</t>
  </si>
  <si>
    <t>Invoice Date</t>
  </si>
  <si>
    <t>Due Date</t>
  </si>
  <si>
    <t>Invoice Amount</t>
  </si>
  <si>
    <t>Received / Paid</t>
  </si>
  <si>
    <t>Outstanding</t>
  </si>
  <si>
    <t>Days Outstanding</t>
  </si>
  <si>
    <t>Aging Bucket</t>
  </si>
  <si>
    <t>Orion Retail</t>
  </si>
  <si>
    <t>INV-1001</t>
  </si>
  <si>
    <t>Northstar Ltd</t>
  </si>
  <si>
    <t>INV-1002</t>
  </si>
  <si>
    <t>Zenith Corp</t>
  </si>
  <si>
    <t>INV-1003</t>
  </si>
  <si>
    <t>Aging Summary</t>
  </si>
  <si>
    <t>Current</t>
  </si>
  <si>
    <t>1–30 Days</t>
  </si>
  <si>
    <t>31–60 Days</t>
  </si>
  <si>
    <t>61–90 Days</t>
  </si>
  <si>
    <t>90+ Days</t>
  </si>
  <si>
    <t>12 AP AGING</t>
  </si>
  <si>
    <t>→ Expense Analysis</t>
  </si>
  <si>
    <t>Vendor</t>
  </si>
  <si>
    <t>Alpha Supplies</t>
  </si>
  <si>
    <t>BILL-2001</t>
  </si>
  <si>
    <t>Beta Services</t>
  </si>
  <si>
    <t>BILL-2002</t>
  </si>
  <si>
    <t>Gamma Works</t>
  </si>
  <si>
    <t>BILL-2003</t>
  </si>
  <si>
    <t>EXPENSE ANALYSIS</t>
  </si>
  <si>
    <t>→ Monthly Trends</t>
  </si>
  <si>
    <t>Expense</t>
  </si>
  <si>
    <t>YTD</t>
  </si>
  <si>
    <t>MONTHLY TREND ANALYSIS</t>
  </si>
  <si>
    <t>→ Notes &amp; Commentary</t>
  </si>
  <si>
    <t>Cash</t>
  </si>
  <si>
    <t>NOTES &amp; MANAGEMENT COMMENTARY</t>
  </si>
  <si>
    <t>Revenue exceeded budget, EBITDA improved and cash remains above plan. Use this area for management’s monthly narrative.</t>
  </si>
  <si>
    <t>Document major unfavorable variances, working capital risks, and cash-flow issues.</t>
  </si>
  <si>
    <t>Record agreed actions, owners, deadlines and progress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</si>
</sst>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₹#,##0;[Red]\(\₹#,##0\);\-"/>
    <numFmt numFmtId="166" formatCode="0.0%;[Red]\(0.0%\);\-"/>
    <numFmt numFmtId="167" formatCode="0.00\x"/>
    <numFmt numFmtId="168" formatCode="0.0"/>
    <numFmt numFmtId="169" formatCode="dd\-mmm\-yyyy"/>
  </numFmts>
  <fonts count="10">
    <font>
      <sz val="11"/>
      <name val="Carlito"/>
    </font>
    <font>
      <b/>
      <sz val="24"/>
      <color rgb="FFFFFFFF"/>
      <name val="Carlito"/>
    </font>
    <font>
      <b/>
      <sz val="22"/>
      <color rgb="FF17365D"/>
      <name val="Carlito"/>
    </font>
    <font>
      <b/>
      <sz val="14"/>
      <color rgb="FF17365D"/>
      <name val="Carlito"/>
    </font>
    <font>
      <b/>
      <sz val="11"/>
      <color rgb="FF17365D"/>
      <name val="Carlito"/>
    </font>
    <font>
      <b/>
      <sz val="13"/>
      <color rgb="FF17365D"/>
      <name val="Carlito"/>
    </font>
    <font>
      <i/>
      <sz val="11"/>
      <color rgb="FF17365D"/>
      <name val="Carlito"/>
    </font>
    <font>
      <b/>
      <sz val="10"/>
      <color rgb="FFFFFFFF"/>
      <name val="Aptos"/>
      <family val="2"/>
    </font>
    <font>
      <b/>
      <i/>
      <sz val="11"/>
      <color rgb="FF17365D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7E7"/>
      </left>
      <right style="thin">
        <color rgb="FFD9E2F3"/>
      </right>
      <top style="thin">
        <color rgb="FFB4C7E7"/>
      </top>
      <bottom style="thin">
        <color rgb="FFB4C7E7"/>
      </bottom>
      <diagonal/>
    </border>
    <border>
      <left style="thin">
        <color rgb="FFD9E2F3"/>
      </left>
      <right style="thin">
        <color rgb="FFD9E2F3"/>
      </right>
      <top style="thin">
        <color rgb="FFB4C7E7"/>
      </top>
      <bottom style="thin">
        <color rgb="FFB4C7E7"/>
      </bottom>
      <diagonal/>
    </border>
    <border>
      <left style="thin">
        <color rgb="FFD9E2F3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3" borderId="1" xfId="0" applyFont="1" applyFill="1" applyBorder="1"/>
    <xf numFmtId="0" fontId="0" fillId="0" borderId="1" xfId="0" applyBorder="1"/>
    <xf numFmtId="0" fontId="9" fillId="2" borderId="1" xfId="0" applyFont="1" applyFill="1" applyBorder="1" applyAlignment="1">
      <alignment horizontal="center" vertical="center" wrapText="1"/>
    </xf>
    <xf numFmtId="0" fontId="0" fillId="5" borderId="0" xfId="0" applyFill="1"/>
    <xf numFmtId="164" fontId="0" fillId="5" borderId="0" xfId="0" applyNumberFormat="1" applyFill="1"/>
    <xf numFmtId="0" fontId="9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165" fontId="0" fillId="5" borderId="2" xfId="0" applyNumberFormat="1" applyFill="1" applyBorder="1" applyAlignment="1">
      <alignment vertical="center"/>
    </xf>
    <xf numFmtId="165" fontId="0" fillId="0" borderId="2" xfId="0" applyNumberForma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165" fontId="4" fillId="3" borderId="2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165" fontId="4" fillId="3" borderId="4" xfId="0" applyNumberFormat="1" applyFont="1" applyFill="1" applyBorder="1" applyAlignment="1">
      <alignment vertical="center"/>
    </xf>
    <xf numFmtId="165" fontId="4" fillId="3" borderId="5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165" fontId="4" fillId="6" borderId="4" xfId="0" applyNumberFormat="1" applyFont="1" applyFill="1" applyBorder="1" applyAlignment="1">
      <alignment vertical="center"/>
    </xf>
    <xf numFmtId="165" fontId="4" fillId="6" borderId="5" xfId="0" applyNumberFormat="1" applyFont="1" applyFill="1" applyBorder="1" applyAlignment="1">
      <alignment vertical="center"/>
    </xf>
    <xf numFmtId="166" fontId="0" fillId="0" borderId="2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7" fontId="0" fillId="0" borderId="2" xfId="0" applyNumberFormat="1" applyBorder="1" applyAlignment="1">
      <alignment vertical="center"/>
    </xf>
    <xf numFmtId="168" fontId="0" fillId="0" borderId="2" xfId="0" applyNumberFormat="1" applyBorder="1" applyAlignment="1">
      <alignment vertical="center"/>
    </xf>
    <xf numFmtId="169" fontId="0" fillId="0" borderId="2" xfId="0" applyNumberFormat="1" applyBorder="1" applyAlignment="1">
      <alignment vertical="center"/>
    </xf>
    <xf numFmtId="165" fontId="9" fillId="2" borderId="2" xfId="0" applyNumberFormat="1" applyFont="1" applyFill="1" applyBorder="1" applyAlignment="1">
      <alignment horizontal="center" vertical="center" wrapText="1"/>
    </xf>
    <xf numFmtId="165" fontId="0" fillId="7" borderId="1" xfId="0" applyNumberFormat="1" applyFill="1" applyBorder="1" applyAlignment="1">
      <alignment vertical="center"/>
    </xf>
    <xf numFmtId="166" fontId="0" fillId="7" borderId="1" xfId="0" applyNumberForma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4" fillId="8" borderId="0" xfId="0" applyFont="1" applyFill="1" applyAlignment="1">
      <alignment vertical="center"/>
    </xf>
    <xf numFmtId="0" fontId="4" fillId="3" borderId="6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Revenue &amp; Profit: Actual vs Budget (₹)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invertIfNegative val="1"/>
          <c:cat>
            <c:strRef>
              <c:f>'08 Budget vs Actual'!$A$5:$A$11</c:f>
              <c:strCache>
                <c:ptCount val="7"/>
                <c:pt idx="0">
                  <c:v>Revenue</c:v>
                </c:pt>
                <c:pt idx="1">
                  <c:v>COGS</c:v>
                </c:pt>
                <c:pt idx="2">
                  <c:v>Salaries</c:v>
                </c:pt>
                <c:pt idx="3">
                  <c:v>Marketing</c:v>
                </c:pt>
                <c:pt idx="4">
                  <c:v>Total Opex</c:v>
                </c:pt>
                <c:pt idx="5">
                  <c:v>EBITDA</c:v>
                </c:pt>
                <c:pt idx="6">
                  <c:v>Net Profit</c:v>
                </c:pt>
              </c:strCache>
            </c:strRef>
          </c:cat>
          <c:val>
            <c:numRef>
              <c:f>'08 Budget vs Actual'!$B$5:$B$11</c:f>
              <c:numCache>
                <c:formatCode>\₹#,##0;[Red]\(\₹#,##0\);\-</c:formatCode>
                <c:ptCount val="7"/>
                <c:pt idx="0">
                  <c:v>11800000</c:v>
                </c:pt>
                <c:pt idx="1">
                  <c:v>4600000</c:v>
                </c:pt>
                <c:pt idx="2">
                  <c:v>1800000</c:v>
                </c:pt>
                <c:pt idx="3">
                  <c:v>400000</c:v>
                </c:pt>
                <c:pt idx="4">
                  <c:v>3570000</c:v>
                </c:pt>
                <c:pt idx="5">
                  <c:v>3630000</c:v>
                </c:pt>
                <c:pt idx="6">
                  <c:v>2550000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5-4659-8689-C3D6A35BFCD5}"/>
            </c:ext>
          </c:extLst>
        </c:ser>
        <c:ser>
          <c:idx val="1"/>
          <c:order val="1"/>
          <c:tx>
            <c:v>Actual</c:v>
          </c:tx>
          <c:invertIfNegative val="1"/>
          <c:cat>
            <c:strRef>
              <c:f>'08 Budget vs Actual'!$A$5:$A$11</c:f>
              <c:strCache>
                <c:ptCount val="7"/>
                <c:pt idx="0">
                  <c:v>Revenue</c:v>
                </c:pt>
                <c:pt idx="1">
                  <c:v>COGS</c:v>
                </c:pt>
                <c:pt idx="2">
                  <c:v>Salaries</c:v>
                </c:pt>
                <c:pt idx="3">
                  <c:v>Marketing</c:v>
                </c:pt>
                <c:pt idx="4">
                  <c:v>Total Opex</c:v>
                </c:pt>
                <c:pt idx="5">
                  <c:v>EBITDA</c:v>
                </c:pt>
                <c:pt idx="6">
                  <c:v>Net Profit</c:v>
                </c:pt>
              </c:strCache>
            </c:strRef>
          </c:cat>
          <c:val>
            <c:numRef>
              <c:f>'08 Budget vs Actual'!$C$5:$C$11</c:f>
              <c:numCache>
                <c:formatCode>\₹#,##0;[Red]\(\₹#,##0\);\-</c:formatCode>
                <c:ptCount val="7"/>
                <c:pt idx="0">
                  <c:v>12400000</c:v>
                </c:pt>
                <c:pt idx="1">
                  <c:v>4700000</c:v>
                </c:pt>
                <c:pt idx="2">
                  <c:v>1900000</c:v>
                </c:pt>
                <c:pt idx="3">
                  <c:v>350000</c:v>
                </c:pt>
                <c:pt idx="4">
                  <c:v>3760000</c:v>
                </c:pt>
                <c:pt idx="5">
                  <c:v>3940000</c:v>
                </c:pt>
                <c:pt idx="6">
                  <c:v>2790000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5-4659-8689-C3D6A35BF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noFill/>
      <a:prstDash val="solid"/>
    </a:ln>
    <a:effectLst>
      <a:outerShdw blurRad="50800" dist="38100" dir="5400000" algn="t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Revenue, EBITDA &amp; Net Profit Trend (₹)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'02 Executive Dashboard'!$A$39:$A$50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 Executive Dashboard'!$B$39:$B$50</c:f>
              <c:numCache>
                <c:formatCode>General</c:formatCode>
                <c:ptCount val="12"/>
                <c:pt idx="0">
                  <c:v>10000000</c:v>
                </c:pt>
                <c:pt idx="1">
                  <c:v>10000000</c:v>
                </c:pt>
                <c:pt idx="2">
                  <c:v>10500000</c:v>
                </c:pt>
                <c:pt idx="3">
                  <c:v>11000000</c:v>
                </c:pt>
                <c:pt idx="4">
                  <c:v>11400000</c:v>
                </c:pt>
                <c:pt idx="5">
                  <c:v>12000000</c:v>
                </c:pt>
                <c:pt idx="6">
                  <c:v>12400000</c:v>
                </c:pt>
                <c:pt idx="7">
                  <c:v>12100000</c:v>
                </c:pt>
                <c:pt idx="8">
                  <c:v>12400000</c:v>
                </c:pt>
                <c:pt idx="9">
                  <c:v>12800000</c:v>
                </c:pt>
                <c:pt idx="10">
                  <c:v>13100000</c:v>
                </c:pt>
                <c:pt idx="11">
                  <c:v>13400000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C-4F3B-BE0D-F0F30DF4A36A}"/>
            </c:ext>
          </c:extLst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'02 Executive Dashboard'!$A$39:$A$50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 Executive Dashboard'!$C$39:$C$50</c:f>
              <c:numCache>
                <c:formatCode>General</c:formatCode>
                <c:ptCount val="12"/>
                <c:pt idx="0">
                  <c:v>2100000</c:v>
                </c:pt>
                <c:pt idx="1">
                  <c:v>2000000</c:v>
                </c:pt>
                <c:pt idx="2">
                  <c:v>2100000</c:v>
                </c:pt>
                <c:pt idx="3">
                  <c:v>2200000</c:v>
                </c:pt>
                <c:pt idx="4">
                  <c:v>2300000</c:v>
                </c:pt>
                <c:pt idx="5">
                  <c:v>2500000</c:v>
                </c:pt>
                <c:pt idx="6">
                  <c:v>2800000</c:v>
                </c:pt>
                <c:pt idx="7">
                  <c:v>2600000</c:v>
                </c:pt>
                <c:pt idx="8">
                  <c:v>2800000</c:v>
                </c:pt>
                <c:pt idx="9">
                  <c:v>3000000</c:v>
                </c:pt>
                <c:pt idx="10">
                  <c:v>3150000</c:v>
                </c:pt>
                <c:pt idx="11">
                  <c:v>3300000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EC-4F3B-BE0D-F0F30DF4A36A}"/>
            </c:ext>
          </c:extLst>
        </c:ser>
        <c:ser>
          <c:idx val="2"/>
          <c:order val="2"/>
          <c:tx>
            <c:v>Net Profit</c:v>
          </c:tx>
          <c:marker>
            <c:symbol val="none"/>
          </c:marker>
          <c:cat>
            <c:strRef>
              <c:f>'02 Executive Dashboard'!$A$39:$A$50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 Executive Dashboard'!$D$39:$D$50</c:f>
              <c:numCache>
                <c:formatCode>General</c:formatCode>
                <c:ptCount val="12"/>
                <c:pt idx="0">
                  <c:v>1300000</c:v>
                </c:pt>
                <c:pt idx="1">
                  <c:v>1100000</c:v>
                </c:pt>
                <c:pt idx="2">
                  <c:v>1200000</c:v>
                </c:pt>
                <c:pt idx="3">
                  <c:v>1300000</c:v>
                </c:pt>
                <c:pt idx="4">
                  <c:v>1400000</c:v>
                </c:pt>
                <c:pt idx="5">
                  <c:v>1500000</c:v>
                </c:pt>
                <c:pt idx="6">
                  <c:v>1700000</c:v>
                </c:pt>
                <c:pt idx="7">
                  <c:v>1550000</c:v>
                </c:pt>
                <c:pt idx="8">
                  <c:v>1700000</c:v>
                </c:pt>
                <c:pt idx="9">
                  <c:v>1850000</c:v>
                </c:pt>
                <c:pt idx="10">
                  <c:v>1950000</c:v>
                </c:pt>
                <c:pt idx="11">
                  <c:v>2050000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EC-4F3B-BE0D-F0F30DF4A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  <a:effectLst>
      <a:outerShdw blurRad="50800" dist="38100" dir="5400000" algn="t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9</xdr:col>
      <xdr:colOff>1564197</xdr:colOff>
      <xdr:row>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9</xdr:col>
      <xdr:colOff>1572936</xdr:colOff>
      <xdr:row>16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workbookViewId="0">
      <selection sqref="A1:J3"/>
    </sheetView>
  </sheetViews>
  <sheetFormatPr defaultRowHeight="14.25"/>
  <cols>
    <col min="4" max="4" width="20.625" customWidth="1"/>
  </cols>
  <sheetData>
    <row r="1" spans="1:10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0"/>
      <c r="B3" s="30"/>
      <c r="C3" s="30"/>
      <c r="D3" s="30"/>
      <c r="E3" s="30"/>
      <c r="F3" s="30"/>
      <c r="G3" s="30"/>
      <c r="H3" s="30"/>
      <c r="I3" s="30"/>
      <c r="J3" s="30"/>
    </row>
    <row r="5" spans="1:10">
      <c r="A5" s="31" t="s">
        <v>1</v>
      </c>
      <c r="B5" s="31"/>
      <c r="C5" s="31"/>
      <c r="D5" s="31"/>
      <c r="E5" s="31"/>
      <c r="F5" s="31"/>
      <c r="G5" s="31"/>
      <c r="H5" s="31"/>
      <c r="I5" s="31"/>
      <c r="J5" s="31"/>
    </row>
    <row r="6" spans="1:10">
      <c r="A6" s="31"/>
      <c r="B6" s="31"/>
      <c r="C6" s="31"/>
      <c r="D6" s="31"/>
      <c r="E6" s="31"/>
      <c r="F6" s="31"/>
      <c r="G6" s="31"/>
      <c r="H6" s="31"/>
      <c r="I6" s="31"/>
      <c r="J6" s="31"/>
    </row>
    <row r="8" spans="1:10" ht="18">
      <c r="A8" s="32" t="s">
        <v>2</v>
      </c>
      <c r="B8" s="32"/>
      <c r="C8" s="32"/>
      <c r="D8" s="32"/>
      <c r="E8" s="32"/>
      <c r="F8" s="32"/>
      <c r="G8" s="32"/>
      <c r="H8" s="32"/>
      <c r="I8" s="32"/>
      <c r="J8" s="32"/>
    </row>
    <row r="11" spans="1:10" ht="15">
      <c r="C11" s="1" t="s">
        <v>3</v>
      </c>
      <c r="D11" s="2" t="s">
        <v>4</v>
      </c>
    </row>
    <row r="12" spans="1:10" ht="15">
      <c r="C12" s="1" t="s">
        <v>5</v>
      </c>
      <c r="D12" s="2" t="s">
        <v>6</v>
      </c>
    </row>
    <row r="13" spans="1:10" ht="15">
      <c r="C13" s="1" t="s">
        <v>7</v>
      </c>
      <c r="D13" s="2" t="s">
        <v>8</v>
      </c>
    </row>
    <row r="14" spans="1:10" ht="15">
      <c r="C14" s="1" t="s">
        <v>9</v>
      </c>
      <c r="D14" s="2" t="s">
        <v>10</v>
      </c>
    </row>
    <row r="15" spans="1:10" ht="15">
      <c r="C15" s="1" t="s">
        <v>11</v>
      </c>
      <c r="D15" s="2" t="s">
        <v>12</v>
      </c>
    </row>
    <row r="16" spans="1:10" ht="15">
      <c r="C16" s="1" t="s">
        <v>13</v>
      </c>
      <c r="D16" s="2" t="s">
        <v>14</v>
      </c>
    </row>
    <row r="19" spans="1:10">
      <c r="A19" s="33" t="s">
        <v>15</v>
      </c>
      <c r="B19" s="33"/>
      <c r="C19" s="33"/>
      <c r="D19" s="33"/>
      <c r="E19" s="33"/>
      <c r="F19" s="33"/>
      <c r="G19" s="33"/>
      <c r="H19" s="33"/>
      <c r="I19" s="33"/>
      <c r="J19" s="33"/>
    </row>
    <row r="20" spans="1:10">
      <c r="A20" s="33"/>
      <c r="B20" s="33"/>
      <c r="C20" s="33"/>
      <c r="D20" s="33"/>
      <c r="E20" s="33"/>
      <c r="F20" s="33"/>
      <c r="G20" s="33"/>
      <c r="H20" s="33"/>
      <c r="I20" s="33"/>
      <c r="J20" s="33"/>
    </row>
  </sheetData>
  <mergeCells count="4">
    <mergeCell ref="A1:J3"/>
    <mergeCell ref="A5:J6"/>
    <mergeCell ref="A8:J8"/>
    <mergeCell ref="A19:J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showGridLines="0" showRowColHeaders="0" zoomScale="118" zoomScaleNormal="109" workbookViewId="0">
      <selection activeCell="J6" sqref="J6"/>
    </sheetView>
  </sheetViews>
  <sheetFormatPr defaultRowHeight="14.25"/>
  <cols>
    <col min="1" max="1" width="23" customWidth="1"/>
    <col min="2" max="2" width="26.75" customWidth="1"/>
    <col min="3" max="4" width="18" customWidth="1"/>
    <col min="5" max="5" width="2.625" customWidth="1"/>
    <col min="6" max="6" width="16.375" customWidth="1"/>
    <col min="8" max="8" width="15.75" customWidth="1"/>
    <col min="9" max="9" width="18.625" customWidth="1"/>
    <col min="10" max="10" width="91.25" customWidth="1"/>
  </cols>
  <sheetData>
    <row r="1" spans="1:10" ht="29.25" customHeight="1">
      <c r="A1" s="34" t="s">
        <v>16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95" customHeight="1">
      <c r="A2" s="35" t="s">
        <v>17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 t="s">
        <v>20</v>
      </c>
    </row>
    <row r="4" spans="1:10" ht="31.5" customHeight="1">
      <c r="A4" s="6" t="s">
        <v>21</v>
      </c>
      <c r="B4" s="6" t="s">
        <v>22</v>
      </c>
      <c r="C4" s="6" t="s">
        <v>23</v>
      </c>
      <c r="D4" s="6" t="s">
        <v>24</v>
      </c>
    </row>
    <row r="5" spans="1:10" ht="31.5" customHeight="1">
      <c r="A5" s="27" t="s">
        <v>25</v>
      </c>
      <c r="B5" s="25">
        <f>'05 P&amp;L'!B9</f>
        <v>12400000</v>
      </c>
      <c r="C5" s="25">
        <f>'05 P&amp;L'!C9</f>
        <v>11800000</v>
      </c>
      <c r="D5" s="26">
        <f>'05 P&amp;L'!B9/'05 P&amp;L'!C9-1</f>
        <v>5.0847457627118731E-2</v>
      </c>
    </row>
    <row r="6" spans="1:10" ht="31.5" customHeight="1">
      <c r="A6" s="27" t="s">
        <v>26</v>
      </c>
      <c r="B6" s="25">
        <f>'05 P&amp;L'!B16</f>
        <v>7700000</v>
      </c>
      <c r="C6" s="25">
        <f>'05 P&amp;L'!C16</f>
        <v>7200000</v>
      </c>
      <c r="D6" s="26">
        <f>'05 P&amp;L'!B16/'05 P&amp;L'!C16-1</f>
        <v>6.944444444444442E-2</v>
      </c>
    </row>
    <row r="7" spans="1:10" ht="31.5" customHeight="1">
      <c r="A7" s="27" t="s">
        <v>27</v>
      </c>
      <c r="B7" s="25">
        <f>'05 P&amp;L'!B28</f>
        <v>3940000</v>
      </c>
      <c r="C7" s="25">
        <f>'05 P&amp;L'!C28</f>
        <v>3630000</v>
      </c>
      <c r="D7" s="26">
        <f>'05 P&amp;L'!B28/'05 P&amp;L'!C28-1</f>
        <v>8.5399449035812758E-2</v>
      </c>
    </row>
    <row r="8" spans="1:10" ht="31.5" customHeight="1">
      <c r="A8" s="27" t="s">
        <v>28</v>
      </c>
      <c r="B8" s="25">
        <f>'05 P&amp;L'!B32</f>
        <v>2790000</v>
      </c>
      <c r="C8" s="25">
        <f>'05 P&amp;L'!C32</f>
        <v>2550000</v>
      </c>
      <c r="D8" s="26">
        <f>'05 P&amp;L'!B32/'05 P&amp;L'!C32-1</f>
        <v>9.4117647058823639E-2</v>
      </c>
    </row>
    <row r="9" spans="1:10" ht="31.5" customHeight="1">
      <c r="A9" s="27" t="s">
        <v>29</v>
      </c>
      <c r="B9" s="25">
        <f>'04 Data Input'!G6</f>
        <v>8300000</v>
      </c>
      <c r="C9" s="25">
        <f>7800000</f>
        <v>7800000</v>
      </c>
      <c r="D9" s="26">
        <f>'04 Data Input'!G6/C9-1</f>
        <v>6.4102564102564097E-2</v>
      </c>
    </row>
    <row r="10" spans="1:10" ht="12.75" customHeight="1"/>
    <row r="11" spans="1:10" ht="20.100000000000001" customHeight="1">
      <c r="A11" s="40" t="s">
        <v>30</v>
      </c>
      <c r="B11" s="40"/>
      <c r="C11" s="40"/>
      <c r="D11" s="40"/>
      <c r="E11" s="39"/>
      <c r="F11" s="39"/>
      <c r="G11" s="39"/>
      <c r="H11" s="39"/>
      <c r="I11" s="39"/>
      <c r="J11" s="39"/>
    </row>
    <row r="12" spans="1:10" ht="47.25" customHeight="1">
      <c r="A12" s="28" t="s">
        <v>31</v>
      </c>
      <c r="B12" s="29" t="s">
        <v>32</v>
      </c>
      <c r="C12" s="29"/>
      <c r="D12" s="29"/>
    </row>
    <row r="13" spans="1:10" ht="43.5">
      <c r="A13" s="28" t="s">
        <v>33</v>
      </c>
      <c r="B13" s="29" t="s">
        <v>34</v>
      </c>
      <c r="C13" s="29"/>
      <c r="D13" s="29"/>
    </row>
    <row r="14" spans="1:10" ht="43.5">
      <c r="A14" s="28" t="s">
        <v>35</v>
      </c>
      <c r="B14" s="29" t="s">
        <v>36</v>
      </c>
      <c r="C14" s="29"/>
      <c r="D14" s="29"/>
    </row>
    <row r="15" spans="1:10" ht="25.5" customHeight="1">
      <c r="A15" s="28" t="s">
        <v>37</v>
      </c>
      <c r="B15" s="29" t="str">
        <f>'06 Balance Sheet'!B30</f>
        <v>OK ✓</v>
      </c>
      <c r="C15" s="29" t="s">
        <v>38</v>
      </c>
      <c r="D15" s="29" t="str">
        <f>'07 Cash Flow'!B28</f>
        <v>OK ✓</v>
      </c>
    </row>
    <row r="16" spans="1:10" ht="43.5">
      <c r="A16" s="28" t="s">
        <v>39</v>
      </c>
      <c r="B16" s="29" t="s">
        <v>40</v>
      </c>
      <c r="C16" s="29"/>
      <c r="D16" s="29"/>
    </row>
    <row r="17" ht="129" customHeight="1"/>
    <row r="18" ht="24.75" hidden="1" customHeight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spans="1:4" hidden="1"/>
    <row r="34" spans="1:4" hidden="1"/>
    <row r="35" spans="1:4" hidden="1"/>
    <row r="36" spans="1:4" hidden="1"/>
    <row r="37" spans="1:4" ht="99" hidden="1"/>
    <row r="38" spans="1:4">
      <c r="A38" t="s">
        <v>41</v>
      </c>
      <c r="B38" t="s">
        <v>25</v>
      </c>
      <c r="C38" t="s">
        <v>27</v>
      </c>
      <c r="D38" t="s">
        <v>28</v>
      </c>
    </row>
    <row r="39" spans="1:4">
      <c r="A39" t="s">
        <v>42</v>
      </c>
      <c r="B39">
        <f>INDEX('14 Monthly Trends'!$B$5:$M$5,1,ROW()-39)</f>
        <v>10000000</v>
      </c>
      <c r="C39">
        <f>INDEX('14 Monthly Trends'!$B$7:$M$7,1,ROW()-39)</f>
        <v>2100000</v>
      </c>
      <c r="D39">
        <f>INDEX('14 Monthly Trends'!$B$8:$M$8,1,ROW()-39)</f>
        <v>1300000</v>
      </c>
    </row>
    <row r="40" spans="1:4">
      <c r="A40" t="s">
        <v>43</v>
      </c>
      <c r="B40">
        <f>INDEX('14 Monthly Trends'!$B$5:$M$5,1,ROW()-39)</f>
        <v>10000000</v>
      </c>
      <c r="C40">
        <f>INDEX('14 Monthly Trends'!$B$7:$M$7,1,ROW()-39)</f>
        <v>2000000</v>
      </c>
      <c r="D40">
        <f>INDEX('14 Monthly Trends'!$B$8:$M$8,1,ROW()-39)</f>
        <v>1100000</v>
      </c>
    </row>
    <row r="41" spans="1:4">
      <c r="A41" t="s">
        <v>44</v>
      </c>
      <c r="B41">
        <f>INDEX('14 Monthly Trends'!$B$5:$M$5,1,ROW()-39)</f>
        <v>10500000</v>
      </c>
      <c r="C41">
        <f>INDEX('14 Monthly Trends'!$B$7:$M$7,1,ROW()-39)</f>
        <v>2100000</v>
      </c>
      <c r="D41">
        <f>INDEX('14 Monthly Trends'!$B$8:$M$8,1,ROW()-39)</f>
        <v>1200000</v>
      </c>
    </row>
    <row r="42" spans="1:4">
      <c r="A42" t="s">
        <v>45</v>
      </c>
      <c r="B42">
        <f>INDEX('14 Monthly Trends'!$B$5:$M$5,1,ROW()-39)</f>
        <v>11000000</v>
      </c>
      <c r="C42">
        <f>INDEX('14 Monthly Trends'!$B$7:$M$7,1,ROW()-39)</f>
        <v>2200000</v>
      </c>
      <c r="D42">
        <f>INDEX('14 Monthly Trends'!$B$8:$M$8,1,ROW()-39)</f>
        <v>1300000</v>
      </c>
    </row>
    <row r="43" spans="1:4">
      <c r="A43" t="s">
        <v>46</v>
      </c>
      <c r="B43">
        <f>INDEX('14 Monthly Trends'!$B$5:$M$5,1,ROW()-39)</f>
        <v>11400000</v>
      </c>
      <c r="C43">
        <f>INDEX('14 Monthly Trends'!$B$7:$M$7,1,ROW()-39)</f>
        <v>2300000</v>
      </c>
      <c r="D43">
        <f>INDEX('14 Monthly Trends'!$B$8:$M$8,1,ROW()-39)</f>
        <v>1400000</v>
      </c>
    </row>
    <row r="44" spans="1:4">
      <c r="A44" t="s">
        <v>47</v>
      </c>
      <c r="B44">
        <f>INDEX('14 Monthly Trends'!$B$5:$M$5,1,ROW()-39)</f>
        <v>12000000</v>
      </c>
      <c r="C44">
        <f>INDEX('14 Monthly Trends'!$B$7:$M$7,1,ROW()-39)</f>
        <v>2500000</v>
      </c>
      <c r="D44">
        <f>INDEX('14 Monthly Trends'!$B$8:$M$8,1,ROW()-39)</f>
        <v>1500000</v>
      </c>
    </row>
    <row r="45" spans="1:4">
      <c r="A45" t="s">
        <v>48</v>
      </c>
      <c r="B45">
        <f>INDEX('14 Monthly Trends'!$B$5:$M$5,1,ROW()-39)</f>
        <v>12400000</v>
      </c>
      <c r="C45">
        <f>INDEX('14 Monthly Trends'!$B$7:$M$7,1,ROW()-39)</f>
        <v>2800000</v>
      </c>
      <c r="D45">
        <f>INDEX('14 Monthly Trends'!$B$8:$M$8,1,ROW()-39)</f>
        <v>1700000</v>
      </c>
    </row>
    <row r="46" spans="1:4">
      <c r="A46" t="s">
        <v>49</v>
      </c>
      <c r="B46">
        <f>INDEX('14 Monthly Trends'!$B$5:$M$5,1,ROW()-39)</f>
        <v>12100000</v>
      </c>
      <c r="C46">
        <f>INDEX('14 Monthly Trends'!$B$7:$M$7,1,ROW()-39)</f>
        <v>2600000</v>
      </c>
      <c r="D46">
        <f>INDEX('14 Monthly Trends'!$B$8:$M$8,1,ROW()-39)</f>
        <v>1550000</v>
      </c>
    </row>
    <row r="47" spans="1:4">
      <c r="A47" t="s">
        <v>50</v>
      </c>
      <c r="B47">
        <f>INDEX('14 Monthly Trends'!$B$5:$M$5,1,ROW()-39)</f>
        <v>12400000</v>
      </c>
      <c r="C47">
        <f>INDEX('14 Monthly Trends'!$B$7:$M$7,1,ROW()-39)</f>
        <v>2800000</v>
      </c>
      <c r="D47">
        <f>INDEX('14 Monthly Trends'!$B$8:$M$8,1,ROW()-39)</f>
        <v>1700000</v>
      </c>
    </row>
    <row r="48" spans="1:4">
      <c r="A48" t="s">
        <v>51</v>
      </c>
      <c r="B48">
        <f>INDEX('14 Monthly Trends'!$B$5:$M$5,1,ROW()-39)</f>
        <v>12800000</v>
      </c>
      <c r="C48">
        <f>INDEX('14 Monthly Trends'!$B$7:$M$7,1,ROW()-39)</f>
        <v>3000000</v>
      </c>
      <c r="D48">
        <f>INDEX('14 Monthly Trends'!$B$8:$M$8,1,ROW()-39)</f>
        <v>1850000</v>
      </c>
    </row>
    <row r="49" spans="1:4">
      <c r="A49" t="s">
        <v>52</v>
      </c>
      <c r="B49">
        <f>INDEX('14 Monthly Trends'!$B$5:$M$5,1,ROW()-39)</f>
        <v>13100000</v>
      </c>
      <c r="C49">
        <f>INDEX('14 Monthly Trends'!$B$7:$M$7,1,ROW()-39)</f>
        <v>3150000</v>
      </c>
      <c r="D49">
        <f>INDEX('14 Monthly Trends'!$B$8:$M$8,1,ROW()-39)</f>
        <v>1950000</v>
      </c>
    </row>
    <row r="50" spans="1:4">
      <c r="A50" t="s">
        <v>53</v>
      </c>
      <c r="B50">
        <f>INDEX('14 Monthly Trends'!$B$5:$M$5,1,ROW()-39)</f>
        <v>13400000</v>
      </c>
      <c r="C50">
        <f>INDEX('14 Monthly Trends'!$B$7:$M$7,1,ROW()-39)</f>
        <v>3300000</v>
      </c>
      <c r="D50">
        <f>INDEX('14 Monthly Trends'!$B$8:$M$8,1,ROW()-39)</f>
        <v>2050000</v>
      </c>
    </row>
  </sheetData>
  <mergeCells count="3">
    <mergeCell ref="A1:J1"/>
    <mergeCell ref="A2:J2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showGridLines="0" zoomScale="116" workbookViewId="0">
      <selection sqref="A1:J1"/>
    </sheetView>
  </sheetViews>
  <sheetFormatPr defaultRowHeight="14.25"/>
  <cols>
    <col min="1" max="1" width="26" customWidth="1"/>
    <col min="2" max="2" width="34" customWidth="1"/>
  </cols>
  <sheetData>
    <row r="1" spans="1:10" ht="27.95" customHeight="1">
      <c r="A1" s="34" t="s">
        <v>54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95" customHeight="1">
      <c r="A2" s="35" t="s">
        <v>17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 t="s">
        <v>55</v>
      </c>
    </row>
    <row r="4" spans="1:10" ht="20.100000000000001" customHeight="1">
      <c r="A4" s="37" t="s">
        <v>56</v>
      </c>
      <c r="B4" s="37"/>
      <c r="C4" s="37"/>
      <c r="D4" s="37"/>
      <c r="E4" s="37"/>
      <c r="F4" s="37"/>
      <c r="G4" s="37"/>
      <c r="H4" s="37"/>
      <c r="I4" s="37"/>
      <c r="J4" s="37"/>
    </row>
    <row r="5" spans="1:10" ht="15">
      <c r="A5" s="3" t="s">
        <v>57</v>
      </c>
      <c r="B5" s="4" t="s">
        <v>0</v>
      </c>
    </row>
    <row r="6" spans="1:10" ht="15">
      <c r="A6" s="3" t="s">
        <v>58</v>
      </c>
      <c r="B6" s="4" t="s">
        <v>59</v>
      </c>
    </row>
    <row r="7" spans="1:10" ht="15">
      <c r="A7" s="3" t="s">
        <v>60</v>
      </c>
      <c r="B7" s="4" t="s">
        <v>61</v>
      </c>
    </row>
    <row r="8" spans="1:10" ht="15">
      <c r="A8" s="3" t="s">
        <v>62</v>
      </c>
      <c r="B8" s="4" t="s">
        <v>63</v>
      </c>
    </row>
    <row r="9" spans="1:10" ht="15">
      <c r="A9" s="3" t="s">
        <v>3</v>
      </c>
      <c r="B9" s="4" t="s">
        <v>4</v>
      </c>
    </row>
    <row r="10" spans="1:10" ht="15">
      <c r="A10" s="3" t="s">
        <v>5</v>
      </c>
      <c r="B10" s="4" t="s">
        <v>6</v>
      </c>
    </row>
    <row r="11" spans="1:10" ht="15">
      <c r="A11" s="3" t="s">
        <v>64</v>
      </c>
      <c r="B11" s="4" t="s">
        <v>23</v>
      </c>
    </row>
    <row r="14" spans="1:10" ht="20.100000000000001" customHeight="1">
      <c r="A14" s="37" t="s">
        <v>65</v>
      </c>
      <c r="B14" s="37"/>
      <c r="C14" s="37"/>
      <c r="D14" s="37"/>
      <c r="E14" s="37"/>
      <c r="F14" s="37"/>
      <c r="G14" s="37"/>
      <c r="H14" s="37"/>
      <c r="I14" s="37"/>
      <c r="J14" s="37"/>
    </row>
    <row r="15" spans="1:10" ht="15">
      <c r="A15" s="3" t="s">
        <v>66</v>
      </c>
      <c r="B15" s="4" t="s">
        <v>67</v>
      </c>
    </row>
    <row r="16" spans="1:10" ht="15">
      <c r="A16" s="3" t="s">
        <v>68</v>
      </c>
      <c r="B16" s="4" t="s">
        <v>69</v>
      </c>
    </row>
    <row r="17" spans="1:2" ht="15">
      <c r="A17" s="3" t="s">
        <v>70</v>
      </c>
      <c r="B17" s="5">
        <v>0.25</v>
      </c>
    </row>
    <row r="18" spans="1:2" ht="15">
      <c r="A18" s="3" t="s">
        <v>71</v>
      </c>
      <c r="B18" s="4" t="s">
        <v>72</v>
      </c>
    </row>
    <row r="19" spans="1:2" ht="15">
      <c r="A19" s="3" t="s">
        <v>73</v>
      </c>
      <c r="B19" s="4" t="s">
        <v>74</v>
      </c>
    </row>
    <row r="20" spans="1:2" ht="15">
      <c r="A20" s="3" t="s">
        <v>75</v>
      </c>
      <c r="B20" s="4" t="s">
        <v>76</v>
      </c>
    </row>
    <row r="21" spans="1:2" ht="15">
      <c r="A21" s="3" t="s">
        <v>77</v>
      </c>
      <c r="B21" s="4" t="s">
        <v>78</v>
      </c>
    </row>
  </sheetData>
  <mergeCells count="4">
    <mergeCell ref="A1:J1"/>
    <mergeCell ref="A2:J2"/>
    <mergeCell ref="A4:J4"/>
    <mergeCell ref="A14:J14"/>
  </mergeCells>
  <dataValidations count="2">
    <dataValidation type="list" sqref="B6" xr:uid="{00000000-0002-0000-0200-000000000000}">
      <formula1>"January 2026,February 2026,March 2026,April 2026,May 2026,June 2026,July 2026,August 2026,September 2026,October 2026,November 2026,December 2026"</formula1>
    </dataValidation>
    <dataValidation type="list" sqref="B8" xr:uid="{00000000-0002-0000-0200-000001000000}">
      <formula1>"INR,USD,EUR,GBP"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showGridLines="0" workbookViewId="0">
      <selection activeCell="C37" sqref="C37"/>
    </sheetView>
  </sheetViews>
  <sheetFormatPr defaultRowHeight="14.25"/>
  <cols>
    <col min="1" max="1" width="25" customWidth="1"/>
    <col min="2" max="4" width="16" customWidth="1"/>
    <col min="6" max="6" width="28" customWidth="1"/>
    <col min="7" max="7" width="16" customWidth="1"/>
  </cols>
  <sheetData>
    <row r="1" spans="1:10" ht="27.95" customHeight="1">
      <c r="A1" s="34" t="s">
        <v>79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95" customHeight="1">
      <c r="A2" s="35" t="s">
        <v>80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 t="s">
        <v>81</v>
      </c>
    </row>
    <row r="4" spans="1:10" ht="20.100000000000001" customHeight="1">
      <c r="A4" s="37" t="s">
        <v>82</v>
      </c>
      <c r="B4" s="37"/>
      <c r="C4" s="37"/>
      <c r="D4" s="37"/>
      <c r="E4" s="37"/>
      <c r="F4" s="37"/>
      <c r="G4" s="37"/>
      <c r="H4" s="37"/>
      <c r="I4" s="37"/>
      <c r="J4" s="37"/>
    </row>
    <row r="5" spans="1:10" ht="15">
      <c r="A5" s="6" t="s">
        <v>83</v>
      </c>
      <c r="B5" s="6" t="s">
        <v>22</v>
      </c>
      <c r="C5" s="6" t="s">
        <v>23</v>
      </c>
      <c r="D5" s="6" t="s">
        <v>84</v>
      </c>
      <c r="F5" s="6" t="s">
        <v>85</v>
      </c>
      <c r="G5" s="6" t="s">
        <v>22</v>
      </c>
    </row>
    <row r="6" spans="1:10">
      <c r="A6" s="7" t="s">
        <v>86</v>
      </c>
      <c r="B6" s="8">
        <v>10200000</v>
      </c>
      <c r="C6" s="8">
        <v>9700000</v>
      </c>
      <c r="D6" s="7" t="s">
        <v>25</v>
      </c>
      <c r="F6" s="7" t="s">
        <v>87</v>
      </c>
      <c r="G6" s="8">
        <v>8300000</v>
      </c>
    </row>
    <row r="7" spans="1:10">
      <c r="A7" s="7" t="s">
        <v>88</v>
      </c>
      <c r="B7" s="8">
        <v>2000000</v>
      </c>
      <c r="C7" s="8">
        <v>1900000</v>
      </c>
      <c r="D7" s="7" t="s">
        <v>25</v>
      </c>
      <c r="F7" s="7" t="s">
        <v>89</v>
      </c>
      <c r="G7" s="8">
        <v>4200000</v>
      </c>
    </row>
    <row r="8" spans="1:10">
      <c r="A8" s="7" t="s">
        <v>90</v>
      </c>
      <c r="B8" s="8">
        <v>200000</v>
      </c>
      <c r="C8" s="8">
        <v>200000</v>
      </c>
      <c r="D8" s="7" t="s">
        <v>25</v>
      </c>
      <c r="F8" s="7" t="s">
        <v>91</v>
      </c>
      <c r="G8" s="8">
        <v>2300000</v>
      </c>
    </row>
    <row r="9" spans="1:10">
      <c r="A9" s="7" t="s">
        <v>92</v>
      </c>
      <c r="B9" s="8">
        <v>1800000</v>
      </c>
      <c r="C9" s="8">
        <v>1750000</v>
      </c>
      <c r="D9" s="7" t="s">
        <v>93</v>
      </c>
      <c r="F9" s="7" t="s">
        <v>94</v>
      </c>
      <c r="G9" s="8">
        <v>350000</v>
      </c>
    </row>
    <row r="10" spans="1:10">
      <c r="A10" s="7" t="s">
        <v>95</v>
      </c>
      <c r="B10" s="8">
        <v>1100000</v>
      </c>
      <c r="C10" s="8">
        <v>1050000</v>
      </c>
      <c r="D10" s="7" t="s">
        <v>93</v>
      </c>
      <c r="F10" s="7" t="s">
        <v>96</v>
      </c>
      <c r="G10" s="8">
        <v>250000</v>
      </c>
    </row>
    <row r="11" spans="1:10">
      <c r="A11" s="7" t="s">
        <v>97</v>
      </c>
      <c r="B11" s="8">
        <v>1050000</v>
      </c>
      <c r="C11" s="8">
        <v>1000000</v>
      </c>
      <c r="D11" s="7" t="s">
        <v>93</v>
      </c>
      <c r="F11" s="7" t="s">
        <v>98</v>
      </c>
      <c r="G11" s="8">
        <v>9500000</v>
      </c>
    </row>
    <row r="12" spans="1:10">
      <c r="A12" s="7" t="s">
        <v>99</v>
      </c>
      <c r="B12" s="8">
        <v>750000</v>
      </c>
      <c r="C12" s="8">
        <v>800000</v>
      </c>
      <c r="D12" s="7" t="s">
        <v>93</v>
      </c>
      <c r="F12" s="7" t="s">
        <v>100</v>
      </c>
      <c r="G12" s="8">
        <v>900000</v>
      </c>
    </row>
    <row r="13" spans="1:10">
      <c r="A13" s="7" t="s">
        <v>101</v>
      </c>
      <c r="B13" s="8">
        <v>1900000</v>
      </c>
      <c r="C13" s="8">
        <v>1800000</v>
      </c>
      <c r="D13" s="7" t="s">
        <v>102</v>
      </c>
      <c r="F13" s="7" t="s">
        <v>103</v>
      </c>
      <c r="G13" s="8">
        <v>300000</v>
      </c>
    </row>
    <row r="14" spans="1:10">
      <c r="A14" s="7" t="s">
        <v>104</v>
      </c>
      <c r="B14" s="8">
        <v>520000</v>
      </c>
      <c r="C14" s="8">
        <v>500000</v>
      </c>
      <c r="D14" s="7" t="s">
        <v>102</v>
      </c>
      <c r="F14" s="7" t="s">
        <v>105</v>
      </c>
      <c r="G14" s="8">
        <v>3100000</v>
      </c>
    </row>
    <row r="15" spans="1:10">
      <c r="A15" s="7" t="s">
        <v>106</v>
      </c>
      <c r="B15" s="8">
        <v>350000</v>
      </c>
      <c r="C15" s="8">
        <v>400000</v>
      </c>
      <c r="D15" s="7" t="s">
        <v>102</v>
      </c>
      <c r="F15" s="7" t="s">
        <v>107</v>
      </c>
      <c r="G15" s="8">
        <v>1200000</v>
      </c>
    </row>
    <row r="16" spans="1:10">
      <c r="A16" s="7" t="s">
        <v>108</v>
      </c>
      <c r="B16" s="8">
        <v>220000</v>
      </c>
      <c r="C16" s="8">
        <v>200000</v>
      </c>
      <c r="D16" s="7" t="s">
        <v>102</v>
      </c>
      <c r="F16" s="7" t="s">
        <v>109</v>
      </c>
      <c r="G16" s="8">
        <v>650000</v>
      </c>
    </row>
    <row r="17" spans="1:7">
      <c r="A17" s="7" t="s">
        <v>110</v>
      </c>
      <c r="B17" s="8">
        <v>130000</v>
      </c>
      <c r="C17" s="8">
        <v>120000</v>
      </c>
      <c r="D17" s="7" t="s">
        <v>102</v>
      </c>
      <c r="F17" s="7" t="s">
        <v>111</v>
      </c>
      <c r="G17" s="8">
        <v>450000</v>
      </c>
    </row>
    <row r="18" spans="1:7">
      <c r="A18" s="7" t="s">
        <v>112</v>
      </c>
      <c r="B18" s="8">
        <v>180000</v>
      </c>
      <c r="C18" s="8">
        <v>150000</v>
      </c>
      <c r="D18" s="7" t="s">
        <v>102</v>
      </c>
      <c r="F18" s="7" t="s">
        <v>113</v>
      </c>
      <c r="G18" s="8">
        <v>6500000</v>
      </c>
    </row>
    <row r="19" spans="1:7">
      <c r="A19" s="7" t="s">
        <v>114</v>
      </c>
      <c r="B19" s="8">
        <v>95000</v>
      </c>
      <c r="C19" s="8">
        <v>90000</v>
      </c>
      <c r="D19" s="7" t="s">
        <v>102</v>
      </c>
      <c r="F19" s="7" t="s">
        <v>115</v>
      </c>
      <c r="G19" s="8">
        <v>350000</v>
      </c>
    </row>
    <row r="20" spans="1:7">
      <c r="A20" s="7" t="s">
        <v>116</v>
      </c>
      <c r="B20" s="8">
        <v>65000</v>
      </c>
      <c r="C20" s="8">
        <v>60000</v>
      </c>
      <c r="D20" s="7" t="s">
        <v>102</v>
      </c>
      <c r="F20" s="7" t="s">
        <v>117</v>
      </c>
      <c r="G20" s="8">
        <v>8000000</v>
      </c>
    </row>
    <row r="21" spans="1:7">
      <c r="A21" s="7" t="s">
        <v>118</v>
      </c>
      <c r="B21" s="8">
        <v>300000</v>
      </c>
      <c r="C21" s="8">
        <v>250000</v>
      </c>
      <c r="D21" s="7" t="s">
        <v>102</v>
      </c>
      <c r="F21" s="7"/>
      <c r="G21" s="8"/>
    </row>
    <row r="22" spans="1:7">
      <c r="A22" s="7" t="s">
        <v>119</v>
      </c>
      <c r="B22" s="8">
        <v>250000</v>
      </c>
      <c r="C22" s="8">
        <v>240000</v>
      </c>
      <c r="D22" s="7" t="s">
        <v>120</v>
      </c>
    </row>
    <row r="23" spans="1:7">
      <c r="A23" s="7" t="s">
        <v>121</v>
      </c>
      <c r="B23" s="8">
        <v>350000</v>
      </c>
      <c r="C23" s="8">
        <v>340000</v>
      </c>
      <c r="D23" s="7" t="s">
        <v>120</v>
      </c>
    </row>
    <row r="24" spans="1:7">
      <c r="A24" s="7" t="s">
        <v>122</v>
      </c>
      <c r="B24" s="8">
        <v>550000</v>
      </c>
      <c r="C24" s="8">
        <v>500000</v>
      </c>
      <c r="D24" s="7" t="s">
        <v>120</v>
      </c>
    </row>
  </sheetData>
  <mergeCells count="3">
    <mergeCell ref="A1:J1"/>
    <mergeCell ref="A2:J2"/>
    <mergeCell ref="A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showGridLines="0" workbookViewId="0">
      <selection sqref="A1:J1"/>
    </sheetView>
  </sheetViews>
  <sheetFormatPr defaultRowHeight="14.25"/>
  <cols>
    <col min="1" max="1" width="29" customWidth="1"/>
    <col min="2" max="4" width="16" customWidth="1"/>
  </cols>
  <sheetData>
    <row r="1" spans="1:10" ht="27.95" customHeight="1">
      <c r="A1" s="34" t="s">
        <v>123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95" customHeight="1">
      <c r="A2" s="35" t="s">
        <v>17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 t="s">
        <v>124</v>
      </c>
    </row>
    <row r="4" spans="1:10" ht="15">
      <c r="A4" s="6" t="s">
        <v>125</v>
      </c>
      <c r="B4" s="6" t="s">
        <v>22</v>
      </c>
      <c r="C4" s="6" t="s">
        <v>23</v>
      </c>
      <c r="D4" s="6" t="s">
        <v>24</v>
      </c>
    </row>
    <row r="5" spans="1:10" ht="15">
      <c r="A5" s="12" t="s">
        <v>25</v>
      </c>
      <c r="B5" s="13"/>
      <c r="C5" s="13"/>
      <c r="D5" s="14"/>
    </row>
    <row r="6" spans="1:10">
      <c r="A6" s="7" t="s">
        <v>86</v>
      </c>
      <c r="B6" s="9">
        <f>'04 Data Input'!B6</f>
        <v>10200000</v>
      </c>
      <c r="C6" s="9">
        <f>'04 Data Input'!C6</f>
        <v>9700000</v>
      </c>
      <c r="D6" s="9">
        <f>B6-C6</f>
        <v>500000</v>
      </c>
    </row>
    <row r="7" spans="1:10">
      <c r="A7" s="7" t="s">
        <v>88</v>
      </c>
      <c r="B7" s="9">
        <f>'04 Data Input'!B7</f>
        <v>2000000</v>
      </c>
      <c r="C7" s="9">
        <f>'04 Data Input'!C7</f>
        <v>1900000</v>
      </c>
      <c r="D7" s="9">
        <f>B7-C7</f>
        <v>100000</v>
      </c>
    </row>
    <row r="8" spans="1:10">
      <c r="A8" s="7" t="s">
        <v>90</v>
      </c>
      <c r="B8" s="9">
        <f>'04 Data Input'!B8</f>
        <v>200000</v>
      </c>
      <c r="C8" s="9">
        <f>'04 Data Input'!C8</f>
        <v>200000</v>
      </c>
      <c r="D8" s="9">
        <f>B8-C8</f>
        <v>0</v>
      </c>
    </row>
    <row r="9" spans="1:10">
      <c r="A9" s="7" t="s">
        <v>126</v>
      </c>
      <c r="B9" s="9">
        <f>SUM(B6:B8)</f>
        <v>12400000</v>
      </c>
      <c r="C9" s="9">
        <f>SUM(C6:C8)</f>
        <v>11800000</v>
      </c>
      <c r="D9" s="9">
        <f>B9-C9</f>
        <v>600000</v>
      </c>
    </row>
    <row r="10" spans="1:10" ht="15">
      <c r="A10" s="12" t="s">
        <v>127</v>
      </c>
      <c r="B10" s="13"/>
      <c r="C10" s="13"/>
      <c r="D10" s="14"/>
    </row>
    <row r="11" spans="1:10">
      <c r="A11" s="7" t="s">
        <v>92</v>
      </c>
      <c r="B11" s="9">
        <f>'04 Data Input'!B9</f>
        <v>1800000</v>
      </c>
      <c r="C11" s="9">
        <f>'04 Data Input'!C9</f>
        <v>1750000</v>
      </c>
      <c r="D11" s="9">
        <f t="shared" ref="D11:D16" si="0">B11-C11</f>
        <v>50000</v>
      </c>
    </row>
    <row r="12" spans="1:10">
      <c r="A12" s="7" t="s">
        <v>95</v>
      </c>
      <c r="B12" s="9">
        <f>'04 Data Input'!B10</f>
        <v>1100000</v>
      </c>
      <c r="C12" s="9">
        <f>'04 Data Input'!C10</f>
        <v>1050000</v>
      </c>
      <c r="D12" s="9">
        <f t="shared" si="0"/>
        <v>50000</v>
      </c>
    </row>
    <row r="13" spans="1:10">
      <c r="A13" s="7" t="s">
        <v>97</v>
      </c>
      <c r="B13" s="9">
        <f>'04 Data Input'!B11</f>
        <v>1050000</v>
      </c>
      <c r="C13" s="9">
        <f>'04 Data Input'!C11</f>
        <v>1000000</v>
      </c>
      <c r="D13" s="9">
        <f t="shared" si="0"/>
        <v>50000</v>
      </c>
    </row>
    <row r="14" spans="1:10">
      <c r="A14" s="7" t="s">
        <v>99</v>
      </c>
      <c r="B14" s="9">
        <f>'04 Data Input'!B12</f>
        <v>750000</v>
      </c>
      <c r="C14" s="9">
        <f>'04 Data Input'!C12</f>
        <v>800000</v>
      </c>
      <c r="D14" s="9">
        <f t="shared" si="0"/>
        <v>-50000</v>
      </c>
    </row>
    <row r="15" spans="1:10">
      <c r="A15" s="7" t="s">
        <v>128</v>
      </c>
      <c r="B15" s="9">
        <f>SUM(B11:B14)</f>
        <v>4700000</v>
      </c>
      <c r="C15" s="9">
        <f>SUM(C11:C14)</f>
        <v>4600000</v>
      </c>
      <c r="D15" s="9">
        <f t="shared" si="0"/>
        <v>100000</v>
      </c>
    </row>
    <row r="16" spans="1:10" ht="15">
      <c r="A16" s="16" t="s">
        <v>26</v>
      </c>
      <c r="B16" s="17">
        <f>B9-B15</f>
        <v>7700000</v>
      </c>
      <c r="C16" s="17">
        <f>C9-C15</f>
        <v>7200000</v>
      </c>
      <c r="D16" s="18">
        <f t="shared" si="0"/>
        <v>500000</v>
      </c>
    </row>
    <row r="17" spans="1:4" ht="15">
      <c r="A17" s="12" t="s">
        <v>129</v>
      </c>
      <c r="B17" s="13"/>
      <c r="C17" s="13"/>
      <c r="D17" s="14"/>
    </row>
    <row r="18" spans="1:4">
      <c r="A18" s="7" t="s">
        <v>101</v>
      </c>
      <c r="B18" s="9">
        <f>'04 Data Input'!B13</f>
        <v>1900000</v>
      </c>
      <c r="C18" s="9">
        <f>'04 Data Input'!C13</f>
        <v>1800000</v>
      </c>
      <c r="D18" s="9">
        <f t="shared" ref="D18:D32" si="1">B18-C18</f>
        <v>100000</v>
      </c>
    </row>
    <row r="19" spans="1:4">
      <c r="A19" s="7" t="s">
        <v>104</v>
      </c>
      <c r="B19" s="9">
        <f>'04 Data Input'!B14</f>
        <v>520000</v>
      </c>
      <c r="C19" s="9">
        <f>'04 Data Input'!C14</f>
        <v>500000</v>
      </c>
      <c r="D19" s="9">
        <f t="shared" si="1"/>
        <v>20000</v>
      </c>
    </row>
    <row r="20" spans="1:4">
      <c r="A20" s="7" t="s">
        <v>106</v>
      </c>
      <c r="B20" s="9">
        <f>'04 Data Input'!B15</f>
        <v>350000</v>
      </c>
      <c r="C20" s="9">
        <f>'04 Data Input'!C15</f>
        <v>400000</v>
      </c>
      <c r="D20" s="9">
        <f t="shared" si="1"/>
        <v>-50000</v>
      </c>
    </row>
    <row r="21" spans="1:4">
      <c r="A21" s="7" t="s">
        <v>108</v>
      </c>
      <c r="B21" s="9">
        <f>'04 Data Input'!B16</f>
        <v>220000</v>
      </c>
      <c r="C21" s="9">
        <f>'04 Data Input'!C16</f>
        <v>200000</v>
      </c>
      <c r="D21" s="9">
        <f t="shared" si="1"/>
        <v>20000</v>
      </c>
    </row>
    <row r="22" spans="1:4">
      <c r="A22" s="7" t="s">
        <v>110</v>
      </c>
      <c r="B22" s="9">
        <f>'04 Data Input'!B17</f>
        <v>130000</v>
      </c>
      <c r="C22" s="9">
        <f>'04 Data Input'!C17</f>
        <v>120000</v>
      </c>
      <c r="D22" s="9">
        <f t="shared" si="1"/>
        <v>10000</v>
      </c>
    </row>
    <row r="23" spans="1:4">
      <c r="A23" s="7" t="s">
        <v>112</v>
      </c>
      <c r="B23" s="9">
        <f>'04 Data Input'!B18</f>
        <v>180000</v>
      </c>
      <c r="C23" s="9">
        <f>'04 Data Input'!C18</f>
        <v>150000</v>
      </c>
      <c r="D23" s="9">
        <f t="shared" si="1"/>
        <v>30000</v>
      </c>
    </row>
    <row r="24" spans="1:4">
      <c r="A24" s="7" t="s">
        <v>114</v>
      </c>
      <c r="B24" s="9">
        <f>'04 Data Input'!B19</f>
        <v>95000</v>
      </c>
      <c r="C24" s="9">
        <f>'04 Data Input'!C19</f>
        <v>90000</v>
      </c>
      <c r="D24" s="9">
        <f t="shared" si="1"/>
        <v>5000</v>
      </c>
    </row>
    <row r="25" spans="1:4">
      <c r="A25" s="7" t="s">
        <v>116</v>
      </c>
      <c r="B25" s="9">
        <f>'04 Data Input'!B20</f>
        <v>65000</v>
      </c>
      <c r="C25" s="9">
        <f>'04 Data Input'!C20</f>
        <v>60000</v>
      </c>
      <c r="D25" s="9">
        <f t="shared" si="1"/>
        <v>5000</v>
      </c>
    </row>
    <row r="26" spans="1:4">
      <c r="A26" s="7" t="s">
        <v>118</v>
      </c>
      <c r="B26" s="9">
        <f>'04 Data Input'!B21</f>
        <v>300000</v>
      </c>
      <c r="C26" s="9">
        <f>'04 Data Input'!C21</f>
        <v>250000</v>
      </c>
      <c r="D26" s="9">
        <f t="shared" si="1"/>
        <v>50000</v>
      </c>
    </row>
    <row r="27" spans="1:4">
      <c r="A27" s="7" t="s">
        <v>130</v>
      </c>
      <c r="B27" s="9">
        <f>SUM(B18:B26)</f>
        <v>3760000</v>
      </c>
      <c r="C27" s="9">
        <f>SUM(C18:C26)</f>
        <v>3570000</v>
      </c>
      <c r="D27" s="9">
        <f t="shared" si="1"/>
        <v>190000</v>
      </c>
    </row>
    <row r="28" spans="1:4" ht="15">
      <c r="A28" s="16" t="s">
        <v>27</v>
      </c>
      <c r="B28" s="17">
        <f>B16-B27</f>
        <v>3940000</v>
      </c>
      <c r="C28" s="17">
        <f>C16-C27</f>
        <v>3630000</v>
      </c>
      <c r="D28" s="18">
        <f t="shared" si="1"/>
        <v>310000</v>
      </c>
    </row>
    <row r="29" spans="1:4">
      <c r="A29" s="7" t="s">
        <v>119</v>
      </c>
      <c r="B29" s="9">
        <f>'04 Data Input'!B22</f>
        <v>250000</v>
      </c>
      <c r="C29" s="9">
        <f>'04 Data Input'!C22</f>
        <v>240000</v>
      </c>
      <c r="D29" s="9">
        <f t="shared" si="1"/>
        <v>10000</v>
      </c>
    </row>
    <row r="30" spans="1:4">
      <c r="A30" s="7" t="s">
        <v>121</v>
      </c>
      <c r="B30" s="9">
        <f>'04 Data Input'!B23</f>
        <v>350000</v>
      </c>
      <c r="C30" s="9">
        <f>'04 Data Input'!C23</f>
        <v>340000</v>
      </c>
      <c r="D30" s="9">
        <f t="shared" si="1"/>
        <v>10000</v>
      </c>
    </row>
    <row r="31" spans="1:4">
      <c r="A31" s="7" t="s">
        <v>122</v>
      </c>
      <c r="B31" s="9">
        <f>'04 Data Input'!B24</f>
        <v>550000</v>
      </c>
      <c r="C31" s="9">
        <f>'04 Data Input'!C24</f>
        <v>500000</v>
      </c>
      <c r="D31" s="9">
        <f t="shared" si="1"/>
        <v>50000</v>
      </c>
    </row>
    <row r="32" spans="1:4" ht="15">
      <c r="A32" s="16" t="s">
        <v>131</v>
      </c>
      <c r="B32" s="17">
        <f>B28-B29-B30-B31</f>
        <v>2790000</v>
      </c>
      <c r="C32" s="17">
        <f>C28-C29-C30-C31</f>
        <v>2550000</v>
      </c>
      <c r="D32" s="18">
        <f t="shared" si="1"/>
        <v>240000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showGridLines="0" workbookViewId="0">
      <selection sqref="A1:J1"/>
    </sheetView>
  </sheetViews>
  <sheetFormatPr defaultRowHeight="14.25"/>
  <cols>
    <col min="1" max="1" width="32" customWidth="1"/>
    <col min="2" max="2" width="19" customWidth="1"/>
  </cols>
  <sheetData>
    <row r="1" spans="1:10" ht="27.95" customHeight="1">
      <c r="A1" s="34" t="s">
        <v>132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95" customHeight="1">
      <c r="A2" s="35" t="s">
        <v>17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 t="s">
        <v>133</v>
      </c>
    </row>
    <row r="4" spans="1:10" ht="15">
      <c r="A4" s="6" t="s">
        <v>125</v>
      </c>
      <c r="B4" s="6" t="s">
        <v>134</v>
      </c>
    </row>
    <row r="5" spans="1:10" ht="15">
      <c r="A5" s="10" t="s">
        <v>135</v>
      </c>
      <c r="B5" s="11">
        <f>SUM(B7:B11)+SUM(B13:B15)</f>
        <v>26100000</v>
      </c>
    </row>
    <row r="6" spans="1:10">
      <c r="A6" s="7" t="s">
        <v>136</v>
      </c>
      <c r="B6" s="9"/>
    </row>
    <row r="7" spans="1:10">
      <c r="A7" s="7" t="s">
        <v>87</v>
      </c>
      <c r="B7" s="9">
        <f>'04 Data Input'!G6</f>
        <v>8300000</v>
      </c>
    </row>
    <row r="8" spans="1:10">
      <c r="A8" s="7" t="s">
        <v>89</v>
      </c>
      <c r="B8" s="9">
        <f>'04 Data Input'!G7</f>
        <v>4200000</v>
      </c>
    </row>
    <row r="9" spans="1:10">
      <c r="A9" s="7" t="s">
        <v>91</v>
      </c>
      <c r="B9" s="9">
        <f>'04 Data Input'!G8</f>
        <v>2300000</v>
      </c>
    </row>
    <row r="10" spans="1:10">
      <c r="A10" s="7" t="s">
        <v>94</v>
      </c>
      <c r="B10" s="9">
        <f>'04 Data Input'!G9</f>
        <v>350000</v>
      </c>
    </row>
    <row r="11" spans="1:10">
      <c r="A11" s="7" t="s">
        <v>96</v>
      </c>
      <c r="B11" s="9">
        <f>'04 Data Input'!G10</f>
        <v>250000</v>
      </c>
    </row>
    <row r="12" spans="1:10">
      <c r="A12" s="7" t="s">
        <v>137</v>
      </c>
      <c r="B12" s="9"/>
    </row>
    <row r="13" spans="1:10">
      <c r="A13" s="7" t="s">
        <v>138</v>
      </c>
      <c r="B13" s="9">
        <f>'04 Data Input'!G11</f>
        <v>9500000</v>
      </c>
    </row>
    <row r="14" spans="1:10">
      <c r="A14" s="7" t="s">
        <v>100</v>
      </c>
      <c r="B14" s="9">
        <f>'04 Data Input'!G12</f>
        <v>900000</v>
      </c>
    </row>
    <row r="15" spans="1:10">
      <c r="A15" s="7" t="s">
        <v>103</v>
      </c>
      <c r="B15" s="9">
        <f>'04 Data Input'!G13</f>
        <v>300000</v>
      </c>
    </row>
    <row r="16" spans="1:10" ht="15">
      <c r="A16" s="10" t="s">
        <v>139</v>
      </c>
      <c r="B16" s="11">
        <f>SUM(B18:B21)+SUM(B23:B24)</f>
        <v>12250000</v>
      </c>
    </row>
    <row r="17" spans="1:2">
      <c r="A17" s="7" t="s">
        <v>140</v>
      </c>
      <c r="B17" s="9"/>
    </row>
    <row r="18" spans="1:2">
      <c r="A18" s="7" t="s">
        <v>105</v>
      </c>
      <c r="B18" s="9">
        <f>'04 Data Input'!G14</f>
        <v>3100000</v>
      </c>
    </row>
    <row r="19" spans="1:2">
      <c r="A19" s="7" t="s">
        <v>107</v>
      </c>
      <c r="B19" s="9">
        <f>'04 Data Input'!G15</f>
        <v>1200000</v>
      </c>
    </row>
    <row r="20" spans="1:2">
      <c r="A20" s="7" t="s">
        <v>109</v>
      </c>
      <c r="B20" s="9">
        <f>'04 Data Input'!G16</f>
        <v>650000</v>
      </c>
    </row>
    <row r="21" spans="1:2">
      <c r="A21" s="7" t="s">
        <v>111</v>
      </c>
      <c r="B21" s="9">
        <f>'04 Data Input'!G17</f>
        <v>450000</v>
      </c>
    </row>
    <row r="22" spans="1:2">
      <c r="A22" s="7" t="s">
        <v>141</v>
      </c>
      <c r="B22" s="9"/>
    </row>
    <row r="23" spans="1:2">
      <c r="A23" s="7" t="s">
        <v>113</v>
      </c>
      <c r="B23" s="9">
        <f>'04 Data Input'!G18</f>
        <v>6500000</v>
      </c>
    </row>
    <row r="24" spans="1:2">
      <c r="A24" s="7" t="s">
        <v>115</v>
      </c>
      <c r="B24" s="9">
        <f>'04 Data Input'!G19</f>
        <v>350000</v>
      </c>
    </row>
    <row r="25" spans="1:2" ht="15">
      <c r="A25" s="10" t="s">
        <v>142</v>
      </c>
      <c r="B25" s="11">
        <f>B26+B27+B28</f>
        <v>13850000</v>
      </c>
    </row>
    <row r="26" spans="1:2">
      <c r="A26" s="7" t="s">
        <v>117</v>
      </c>
      <c r="B26" s="9">
        <f>'04 Data Input'!G20</f>
        <v>8000000</v>
      </c>
    </row>
    <row r="27" spans="1:2">
      <c r="A27" s="7" t="s">
        <v>143</v>
      </c>
      <c r="B27" s="9">
        <f>B5-B16-B26-B28</f>
        <v>3060000</v>
      </c>
    </row>
    <row r="28" spans="1:2">
      <c r="A28" s="7" t="s">
        <v>144</v>
      </c>
      <c r="B28" s="9">
        <f>'05 P&amp;L'!B32</f>
        <v>2790000</v>
      </c>
    </row>
    <row r="29" spans="1:2">
      <c r="A29" s="7" t="s">
        <v>145</v>
      </c>
      <c r="B29" s="9">
        <f>B16+B25</f>
        <v>26100000</v>
      </c>
    </row>
    <row r="30" spans="1:2" ht="15">
      <c r="A30" s="15" t="s">
        <v>146</v>
      </c>
      <c r="B30" s="15" t="str">
        <f>IF(ABS(B5-B29)&lt;1,"OK ✓","CHECK")</f>
        <v>OK ✓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showGridLines="0" tabSelected="1" zoomScale="137" workbookViewId="0">
      <selection sqref="A1:J1"/>
    </sheetView>
  </sheetViews>
  <sheetFormatPr defaultRowHeight="14.25"/>
  <cols>
    <col min="1" max="1" width="34" customWidth="1"/>
    <col min="2" max="2" width="19" customWidth="1"/>
  </cols>
  <sheetData>
    <row r="1" spans="1:10" ht="27.95" customHeight="1">
      <c r="A1" s="34" t="s">
        <v>147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95" customHeight="1">
      <c r="A2" s="35" t="s">
        <v>17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 t="s">
        <v>148</v>
      </c>
    </row>
    <row r="4" spans="1:10" ht="15">
      <c r="A4" s="6" t="s">
        <v>125</v>
      </c>
      <c r="B4" s="6" t="s">
        <v>134</v>
      </c>
    </row>
    <row r="5" spans="1:10" ht="15">
      <c r="A5" s="10" t="s">
        <v>149</v>
      </c>
      <c r="B5" s="11"/>
    </row>
    <row r="6" spans="1:10">
      <c r="A6" s="7" t="s">
        <v>28</v>
      </c>
      <c r="B6" s="9">
        <f>'05 P&amp;L'!B32</f>
        <v>2790000</v>
      </c>
    </row>
    <row r="7" spans="1:10">
      <c r="A7" s="7" t="s">
        <v>119</v>
      </c>
      <c r="B7" s="9">
        <f>'05 P&amp;L'!B29</f>
        <v>250000</v>
      </c>
    </row>
    <row r="8" spans="1:10">
      <c r="A8" s="7" t="s">
        <v>150</v>
      </c>
      <c r="B8" s="9">
        <v>-200000</v>
      </c>
    </row>
    <row r="9" spans="1:10">
      <c r="A9" s="7" t="s">
        <v>151</v>
      </c>
      <c r="B9" s="9">
        <v>-100000</v>
      </c>
    </row>
    <row r="10" spans="1:10">
      <c r="A10" s="7" t="s">
        <v>152</v>
      </c>
      <c r="B10" s="9">
        <v>150000</v>
      </c>
    </row>
    <row r="11" spans="1:10">
      <c r="A11" s="7" t="s">
        <v>153</v>
      </c>
      <c r="B11" s="9">
        <v>-50000</v>
      </c>
    </row>
    <row r="12" spans="1:10">
      <c r="A12" s="7" t="s">
        <v>154</v>
      </c>
      <c r="B12" s="9">
        <f>SUM(B6:B11)</f>
        <v>2840000</v>
      </c>
    </row>
    <row r="13" spans="1:10" ht="15">
      <c r="A13" s="10" t="s">
        <v>155</v>
      </c>
      <c r="B13" s="11"/>
    </row>
    <row r="14" spans="1:10">
      <c r="A14" s="7" t="s">
        <v>156</v>
      </c>
      <c r="B14" s="9">
        <v>-600000</v>
      </c>
    </row>
    <row r="15" spans="1:10">
      <c r="A15" s="7" t="s">
        <v>157</v>
      </c>
      <c r="B15" s="9">
        <v>-100000</v>
      </c>
    </row>
    <row r="16" spans="1:10">
      <c r="A16" s="7" t="s">
        <v>158</v>
      </c>
      <c r="B16" s="9">
        <v>0</v>
      </c>
    </row>
    <row r="17" spans="1:2">
      <c r="A17" s="7" t="s">
        <v>159</v>
      </c>
      <c r="B17" s="9">
        <v>0</v>
      </c>
    </row>
    <row r="18" spans="1:2">
      <c r="A18" s="7" t="s">
        <v>160</v>
      </c>
      <c r="B18" s="9">
        <f>SUM(B14:B17)</f>
        <v>-700000</v>
      </c>
    </row>
    <row r="19" spans="1:2" ht="15">
      <c r="A19" s="10" t="s">
        <v>161</v>
      </c>
      <c r="B19" s="11"/>
    </row>
    <row r="20" spans="1:2">
      <c r="A20" s="7" t="s">
        <v>162</v>
      </c>
      <c r="B20" s="9">
        <v>500000</v>
      </c>
    </row>
    <row r="21" spans="1:2">
      <c r="A21" s="7" t="s">
        <v>163</v>
      </c>
      <c r="B21" s="9">
        <v>-300000</v>
      </c>
    </row>
    <row r="22" spans="1:2">
      <c r="A22" s="7" t="s">
        <v>164</v>
      </c>
      <c r="B22" s="9">
        <v>0</v>
      </c>
    </row>
    <row r="23" spans="1:2">
      <c r="A23" s="7" t="s">
        <v>165</v>
      </c>
      <c r="B23" s="9">
        <v>0</v>
      </c>
    </row>
    <row r="24" spans="1:2">
      <c r="A24" s="7" t="s">
        <v>166</v>
      </c>
      <c r="B24" s="9">
        <f>SUM(B20:B23)</f>
        <v>200000</v>
      </c>
    </row>
    <row r="25" spans="1:2" ht="15">
      <c r="A25" s="10" t="s">
        <v>167</v>
      </c>
      <c r="B25" s="11">
        <f>B12+B18+B24</f>
        <v>2340000</v>
      </c>
    </row>
    <row r="26" spans="1:2">
      <c r="A26" s="7" t="s">
        <v>168</v>
      </c>
      <c r="B26" s="9">
        <f>'04 Data Input'!G6-B25</f>
        <v>5960000</v>
      </c>
    </row>
    <row r="27" spans="1:2">
      <c r="A27" s="7" t="s">
        <v>169</v>
      </c>
      <c r="B27" s="9">
        <f>B25+B26</f>
        <v>8300000</v>
      </c>
    </row>
    <row r="28" spans="1:2" ht="15">
      <c r="A28" s="15" t="s">
        <v>170</v>
      </c>
      <c r="B28" s="15" t="str">
        <f>IF(ABS(B27-'04 Data Input'!G6)&lt;1,"OK ✓","CHECK")</f>
        <v>OK ✓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showGridLines="0" workbookViewId="0">
      <selection activeCell="C14" sqref="C14"/>
    </sheetView>
  </sheetViews>
  <sheetFormatPr defaultRowHeight="14.25"/>
  <cols>
    <col min="1" max="1" width="25" customWidth="1"/>
    <col min="2" max="6" width="16" customWidth="1"/>
  </cols>
  <sheetData>
    <row r="1" spans="1:10" ht="27.95" customHeight="1">
      <c r="A1" s="34" t="s">
        <v>171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95" customHeight="1">
      <c r="A2" s="35" t="s">
        <v>17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 t="s">
        <v>172</v>
      </c>
    </row>
    <row r="4" spans="1:10" ht="15">
      <c r="A4" s="6" t="s">
        <v>125</v>
      </c>
      <c r="B4" s="6" t="s">
        <v>23</v>
      </c>
      <c r="C4" s="6" t="s">
        <v>22</v>
      </c>
      <c r="D4" s="6" t="s">
        <v>24</v>
      </c>
      <c r="E4" s="6" t="s">
        <v>173</v>
      </c>
      <c r="F4" s="6" t="s">
        <v>11</v>
      </c>
    </row>
    <row r="5" spans="1:10">
      <c r="A5" s="7" t="s">
        <v>25</v>
      </c>
      <c r="B5" s="9">
        <f>'05 P&amp;L'!C9</f>
        <v>11800000</v>
      </c>
      <c r="C5" s="9">
        <f>'05 P&amp;L'!B9</f>
        <v>12400000</v>
      </c>
      <c r="D5" s="9">
        <f>C5-B5</f>
        <v>600000</v>
      </c>
      <c r="E5" s="19">
        <f t="shared" ref="E5:E11" si="0">D5/B5</f>
        <v>5.0847457627118647E-2</v>
      </c>
      <c r="F5" s="7" t="str">
        <f t="shared" ref="F5:F11" si="1">IF(D5&gt;=0,"Favorable","Unfavorable")</f>
        <v>Favorable</v>
      </c>
    </row>
    <row r="6" spans="1:10">
      <c r="A6" s="7" t="s">
        <v>93</v>
      </c>
      <c r="B6" s="9">
        <f>'05 P&amp;L'!C15</f>
        <v>4600000</v>
      </c>
      <c r="C6" s="9">
        <f>'05 P&amp;L'!B15</f>
        <v>4700000</v>
      </c>
      <c r="D6" s="9">
        <f>B6-C6</f>
        <v>-100000</v>
      </c>
      <c r="E6" s="19">
        <f t="shared" si="0"/>
        <v>-2.1739130434782608E-2</v>
      </c>
      <c r="F6" s="7" t="str">
        <f t="shared" si="1"/>
        <v>Unfavorable</v>
      </c>
    </row>
    <row r="7" spans="1:10">
      <c r="A7" s="7" t="s">
        <v>101</v>
      </c>
      <c r="B7" s="9">
        <f>'05 P&amp;L'!C18</f>
        <v>1800000</v>
      </c>
      <c r="C7" s="9">
        <f>'05 P&amp;L'!B18</f>
        <v>1900000</v>
      </c>
      <c r="D7" s="9">
        <f>B7-C7</f>
        <v>-100000</v>
      </c>
      <c r="E7" s="19">
        <f t="shared" si="0"/>
        <v>-5.5555555555555552E-2</v>
      </c>
      <c r="F7" s="7" t="str">
        <f t="shared" si="1"/>
        <v>Unfavorable</v>
      </c>
    </row>
    <row r="8" spans="1:10">
      <c r="A8" s="7" t="s">
        <v>106</v>
      </c>
      <c r="B8" s="9">
        <f>'05 P&amp;L'!C20</f>
        <v>400000</v>
      </c>
      <c r="C8" s="9">
        <f>'05 P&amp;L'!B20</f>
        <v>350000</v>
      </c>
      <c r="D8" s="9">
        <f>B8-C8</f>
        <v>50000</v>
      </c>
      <c r="E8" s="19">
        <f t="shared" si="0"/>
        <v>0.125</v>
      </c>
      <c r="F8" s="7" t="str">
        <f t="shared" si="1"/>
        <v>Favorable</v>
      </c>
    </row>
    <row r="9" spans="1:10">
      <c r="A9" s="7" t="s">
        <v>174</v>
      </c>
      <c r="B9" s="9">
        <f>'05 P&amp;L'!C27</f>
        <v>3570000</v>
      </c>
      <c r="C9" s="9">
        <f>'05 P&amp;L'!B27</f>
        <v>3760000</v>
      </c>
      <c r="D9" s="9">
        <f>B9-C9</f>
        <v>-190000</v>
      </c>
      <c r="E9" s="19">
        <f t="shared" si="0"/>
        <v>-5.3221288515406161E-2</v>
      </c>
      <c r="F9" s="7" t="str">
        <f t="shared" si="1"/>
        <v>Unfavorable</v>
      </c>
    </row>
    <row r="10" spans="1:10">
      <c r="A10" s="7" t="s">
        <v>27</v>
      </c>
      <c r="B10" s="9">
        <f>'05 P&amp;L'!C28</f>
        <v>3630000</v>
      </c>
      <c r="C10" s="9">
        <f>'05 P&amp;L'!B28</f>
        <v>3940000</v>
      </c>
      <c r="D10" s="9">
        <f>C10-B10</f>
        <v>310000</v>
      </c>
      <c r="E10" s="19">
        <f t="shared" si="0"/>
        <v>8.5399449035812675E-2</v>
      </c>
      <c r="F10" s="7" t="str">
        <f t="shared" si="1"/>
        <v>Favorable</v>
      </c>
    </row>
    <row r="11" spans="1:10">
      <c r="A11" s="7" t="s">
        <v>28</v>
      </c>
      <c r="B11" s="9">
        <f>'05 P&amp;L'!C32</f>
        <v>2550000</v>
      </c>
      <c r="C11" s="9">
        <f>'05 P&amp;L'!B32</f>
        <v>2790000</v>
      </c>
      <c r="D11" s="9">
        <f>C11-B11</f>
        <v>240000</v>
      </c>
      <c r="E11" s="19">
        <f t="shared" si="0"/>
        <v>9.4117647058823528E-2</v>
      </c>
      <c r="F11" s="7" t="str">
        <f t="shared" si="1"/>
        <v>Favorable</v>
      </c>
    </row>
  </sheetData>
  <mergeCells count="2">
    <mergeCell ref="A1:J1"/>
    <mergeCell ref="A2:J2"/>
  </mergeCells>
  <conditionalFormatting sqref="F5:F11">
    <cfRule type="containsText" dxfId="1" priority="1" operator="containsText" text="Favorable"/>
    <cfRule type="containsText" dxfId="0" priority="2" operator="containsText" text="Unfavorable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"/>
  <sheetViews>
    <sheetView showGridLines="0" workbookViewId="0">
      <selection sqref="A1:J1"/>
    </sheetView>
  </sheetViews>
  <sheetFormatPr defaultRowHeight="14.25"/>
  <cols>
    <col min="1" max="1" width="33" customWidth="1"/>
    <col min="2" max="2" width="20" customWidth="1"/>
  </cols>
  <sheetData>
    <row r="1" spans="1:10" ht="27.95" customHeight="1">
      <c r="A1" s="34" t="s">
        <v>175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95" customHeight="1">
      <c r="A2" s="35" t="s">
        <v>17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 t="s">
        <v>176</v>
      </c>
    </row>
    <row r="4" spans="1:10" ht="15">
      <c r="A4" s="6" t="s">
        <v>177</v>
      </c>
      <c r="B4" s="6" t="s">
        <v>178</v>
      </c>
    </row>
    <row r="5" spans="1:10">
      <c r="A5" s="7" t="s">
        <v>179</v>
      </c>
      <c r="B5" s="20">
        <f>'14 Monthly Trends'!I5/'14 Monthly Trends'!H5-1</f>
        <v>2.4793388429751984E-2</v>
      </c>
    </row>
    <row r="6" spans="1:10">
      <c r="A6" s="7" t="s">
        <v>180</v>
      </c>
      <c r="B6" s="20">
        <f>'05 P&amp;L'!B16/'05 P&amp;L'!B9</f>
        <v>0.62096774193548387</v>
      </c>
    </row>
    <row r="7" spans="1:10">
      <c r="A7" s="7" t="s">
        <v>181</v>
      </c>
      <c r="B7" s="20">
        <f>'05 P&amp;L'!B28/'05 P&amp;L'!B9</f>
        <v>0.31774193548387097</v>
      </c>
    </row>
    <row r="8" spans="1:10">
      <c r="A8" s="7" t="s">
        <v>182</v>
      </c>
      <c r="B8" s="20">
        <f>'05 P&amp;L'!B32/'05 P&amp;L'!B9</f>
        <v>0.22500000000000001</v>
      </c>
    </row>
    <row r="9" spans="1:10">
      <c r="A9" s="7" t="s">
        <v>183</v>
      </c>
      <c r="B9" s="20">
        <f>'05 P&amp;L'!B27/'05 P&amp;L'!B9</f>
        <v>0.3032258064516129</v>
      </c>
    </row>
    <row r="10" spans="1:10">
      <c r="A10" s="7" t="s">
        <v>184</v>
      </c>
      <c r="B10" s="21">
        <f>('06 Balance Sheet'!B6+'06 Balance Sheet'!B7+'06 Balance Sheet'!B8+'06 Balance Sheet'!B9+'06 Balance Sheet'!B10)/('06 Balance Sheet'!B17+'06 Balance Sheet'!B18+'06 Balance Sheet'!B19+'06 Balance Sheet'!B20)</f>
        <v>3.0606060606060606</v>
      </c>
    </row>
    <row r="11" spans="1:10">
      <c r="A11" s="7" t="s">
        <v>185</v>
      </c>
      <c r="B11" s="21">
        <f>('06 Balance Sheet'!B22+'06 Balance Sheet'!B23)/'06 Balance Sheet'!B25</f>
        <v>0.46931407942238268</v>
      </c>
    </row>
    <row r="12" spans="1:10">
      <c r="A12" s="7" t="s">
        <v>186</v>
      </c>
      <c r="B12" s="21">
        <f>'05 P&amp;L'!B32/'06 Balance Sheet'!B25</f>
        <v>0.20144404332129964</v>
      </c>
    </row>
    <row r="13" spans="1:10">
      <c r="A13" s="7" t="s">
        <v>187</v>
      </c>
      <c r="B13" s="21">
        <f>'05 P&amp;L'!B32/'06 Balance Sheet'!B5</f>
        <v>0.10689655172413794</v>
      </c>
    </row>
    <row r="14" spans="1:10">
      <c r="A14" s="7" t="s">
        <v>188</v>
      </c>
      <c r="B14" s="22">
        <v>36</v>
      </c>
    </row>
    <row r="15" spans="1:10">
      <c r="A15" s="7" t="s">
        <v>189</v>
      </c>
      <c r="B15" s="22">
        <v>28</v>
      </c>
    </row>
    <row r="16" spans="1:10">
      <c r="A16" s="7" t="s">
        <v>190</v>
      </c>
      <c r="B16" s="22">
        <v>18</v>
      </c>
    </row>
    <row r="17" spans="1:2">
      <c r="A17" s="7" t="s">
        <v>191</v>
      </c>
      <c r="B17" s="22">
        <f>B14+B16-B15</f>
        <v>26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"/>
  <sheetViews>
    <sheetView showGridLines="0" workbookViewId="0">
      <selection sqref="A1:J1"/>
    </sheetView>
  </sheetViews>
  <sheetFormatPr defaultRowHeight="14.25"/>
  <cols>
    <col min="1" max="1" width="18" customWidth="1"/>
    <col min="2" max="5" width="15" customWidth="1"/>
    <col min="6" max="7" width="29" customWidth="1"/>
    <col min="8" max="8" width="15" customWidth="1"/>
  </cols>
  <sheetData>
    <row r="1" spans="1:10" ht="27.95" customHeight="1">
      <c r="A1" s="34" t="s">
        <v>192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95" customHeight="1">
      <c r="A2" s="35" t="s">
        <v>17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 t="s">
        <v>193</v>
      </c>
    </row>
    <row r="4" spans="1:10" ht="15">
      <c r="A4" s="6" t="s">
        <v>83</v>
      </c>
      <c r="B4" s="6" t="s">
        <v>23</v>
      </c>
      <c r="C4" s="6" t="s">
        <v>22</v>
      </c>
      <c r="D4" s="6" t="s">
        <v>24</v>
      </c>
      <c r="E4" s="6" t="s">
        <v>173</v>
      </c>
      <c r="F4" s="6" t="s">
        <v>194</v>
      </c>
      <c r="G4" s="6" t="s">
        <v>195</v>
      </c>
      <c r="H4" s="6" t="s">
        <v>196</v>
      </c>
    </row>
    <row r="5" spans="1:10">
      <c r="A5" s="7" t="s">
        <v>25</v>
      </c>
      <c r="B5" s="9">
        <v>11800000</v>
      </c>
      <c r="C5" s="9">
        <v>12400000</v>
      </c>
      <c r="D5" s="9">
        <v>600000</v>
      </c>
      <c r="E5" s="19">
        <v>5.0799999999999998E-2</v>
      </c>
      <c r="F5" s="7" t="s">
        <v>197</v>
      </c>
      <c r="G5" s="7" t="s">
        <v>198</v>
      </c>
      <c r="H5" s="7" t="s">
        <v>199</v>
      </c>
    </row>
    <row r="6" spans="1:10">
      <c r="A6" s="7" t="s">
        <v>101</v>
      </c>
      <c r="B6" s="9">
        <v>1800000</v>
      </c>
      <c r="C6" s="9">
        <v>1900000</v>
      </c>
      <c r="D6" s="9">
        <v>-100000</v>
      </c>
      <c r="E6" s="19">
        <v>-5.5599999999999997E-2</v>
      </c>
      <c r="F6" s="7" t="s">
        <v>200</v>
      </c>
      <c r="G6" s="7" t="s">
        <v>201</v>
      </c>
      <c r="H6" s="7" t="s">
        <v>202</v>
      </c>
    </row>
    <row r="7" spans="1:10">
      <c r="A7" s="7" t="s">
        <v>106</v>
      </c>
      <c r="B7" s="9">
        <v>400000</v>
      </c>
      <c r="C7" s="9">
        <v>350000</v>
      </c>
      <c r="D7" s="9">
        <v>50000</v>
      </c>
      <c r="E7" s="19">
        <v>0.125</v>
      </c>
      <c r="F7" s="7" t="s">
        <v>203</v>
      </c>
      <c r="G7" s="7" t="s">
        <v>204</v>
      </c>
      <c r="H7" s="7" t="s">
        <v>106</v>
      </c>
    </row>
    <row r="8" spans="1:10">
      <c r="A8" s="7" t="s">
        <v>93</v>
      </c>
      <c r="B8" s="9">
        <v>4600000</v>
      </c>
      <c r="C8" s="9">
        <v>4700000</v>
      </c>
      <c r="D8" s="9">
        <v>-100000</v>
      </c>
      <c r="E8" s="19">
        <v>-2.1700000000000001E-2</v>
      </c>
      <c r="F8" s="7" t="s">
        <v>205</v>
      </c>
      <c r="G8" s="7" t="s">
        <v>206</v>
      </c>
      <c r="H8" s="7" t="s">
        <v>207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"/>
  <sheetViews>
    <sheetView showGridLines="0" workbookViewId="0"/>
  </sheetViews>
  <sheetFormatPr defaultRowHeight="14.25"/>
  <cols>
    <col min="1" max="1" width="20" customWidth="1"/>
    <col min="2" max="9" width="15" customWidth="1"/>
  </cols>
  <sheetData>
    <row r="1" spans="1:10" ht="27.95" customHeight="1">
      <c r="A1" s="34" t="s">
        <v>208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95" customHeight="1">
      <c r="A2" s="35" t="s">
        <v>17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 t="s">
        <v>209</v>
      </c>
    </row>
    <row r="4" spans="1:10" ht="30">
      <c r="A4" s="6" t="s">
        <v>210</v>
      </c>
      <c r="B4" s="6" t="s">
        <v>211</v>
      </c>
      <c r="C4" s="6" t="s">
        <v>212</v>
      </c>
      <c r="D4" s="6" t="s">
        <v>213</v>
      </c>
      <c r="E4" s="6" t="s">
        <v>214</v>
      </c>
      <c r="F4" s="6" t="s">
        <v>215</v>
      </c>
      <c r="G4" s="6" t="s">
        <v>216</v>
      </c>
      <c r="H4" s="6" t="s">
        <v>217</v>
      </c>
      <c r="I4" s="6" t="s">
        <v>218</v>
      </c>
    </row>
    <row r="5" spans="1:10">
      <c r="A5" s="7" t="s">
        <v>219</v>
      </c>
      <c r="B5" s="7" t="s">
        <v>220</v>
      </c>
      <c r="C5" s="23">
        <v>46204</v>
      </c>
      <c r="D5" s="23">
        <v>46234</v>
      </c>
      <c r="E5" s="9">
        <v>800000</v>
      </c>
      <c r="F5" s="9">
        <v>300000</v>
      </c>
      <c r="G5" s="9">
        <f>E5-F5</f>
        <v>500000</v>
      </c>
      <c r="H5" s="7">
        <f>MAX(0,DATE(2026,8,31)-D5)</f>
        <v>31</v>
      </c>
      <c r="I5" s="7" t="str">
        <f>IF(H5=0,"Current",IF(H5&lt;=30,"1–30 Days",IF(H5&lt;=60,"31–60 Days",IF(H5&lt;=90,"61–90 Days","90+ Days"))))</f>
        <v>31–60 Days</v>
      </c>
    </row>
    <row r="6" spans="1:10">
      <c r="A6" s="7" t="s">
        <v>221</v>
      </c>
      <c r="B6" s="7" t="s">
        <v>222</v>
      </c>
      <c r="C6" s="23">
        <v>46218</v>
      </c>
      <c r="D6" s="23">
        <v>46248</v>
      </c>
      <c r="E6" s="9">
        <v>650000</v>
      </c>
      <c r="F6" s="9">
        <v>0</v>
      </c>
      <c r="G6" s="9">
        <f>E6-F6</f>
        <v>650000</v>
      </c>
      <c r="H6" s="7">
        <f>MAX(0,DATE(2026,8,31)-D6)</f>
        <v>17</v>
      </c>
      <c r="I6" s="7" t="str">
        <f>IF(H6=0,"Current",IF(H6&lt;=30,"1–30 Days",IF(H6&lt;=60,"31–60 Days",IF(H6&lt;=90,"61–90 Days","90+ Days"))))</f>
        <v>1–30 Days</v>
      </c>
    </row>
    <row r="7" spans="1:10">
      <c r="A7" s="7" t="s">
        <v>223</v>
      </c>
      <c r="B7" s="7" t="s">
        <v>224</v>
      </c>
      <c r="C7" s="23">
        <v>46172</v>
      </c>
      <c r="D7" s="23">
        <v>46202</v>
      </c>
      <c r="E7" s="9">
        <v>1200000</v>
      </c>
      <c r="F7" s="9">
        <v>0</v>
      </c>
      <c r="G7" s="9">
        <f>E7-F7</f>
        <v>1200000</v>
      </c>
      <c r="H7" s="7">
        <f>MAX(0,DATE(2026,8,31)-D7)</f>
        <v>63</v>
      </c>
      <c r="I7" s="7" t="str">
        <f>IF(H7=0,"Current",IF(H7&lt;=30,"1–30 Days",IF(H7&lt;=60,"31–60 Days",IF(H7&lt;=90,"61–90 Days","90+ Days"))))</f>
        <v>61–90 Days</v>
      </c>
    </row>
    <row r="10" spans="1:10" ht="20.100000000000001" customHeight="1">
      <c r="A10" s="37" t="s">
        <v>225</v>
      </c>
      <c r="B10" s="37"/>
      <c r="C10" s="37"/>
      <c r="D10" s="37"/>
    </row>
    <row r="11" spans="1:10" ht="15">
      <c r="A11" s="6" t="s">
        <v>226</v>
      </c>
      <c r="B11" s="24">
        <f>SUMIF(I5:I7,"Current",G5:G7)</f>
        <v>0</v>
      </c>
    </row>
    <row r="12" spans="1:10">
      <c r="A12" s="7" t="s">
        <v>227</v>
      </c>
      <c r="B12" s="9">
        <f>SUMIF(I5:I7,"1–30 Days",G5:G7)</f>
        <v>650000</v>
      </c>
    </row>
    <row r="13" spans="1:10">
      <c r="A13" s="7" t="s">
        <v>228</v>
      </c>
      <c r="B13" s="9">
        <f>SUMIF(I5:I7,"31–60 Days",G5:G7)</f>
        <v>500000</v>
      </c>
    </row>
    <row r="14" spans="1:10">
      <c r="A14" s="7" t="s">
        <v>229</v>
      </c>
      <c r="B14" s="9">
        <f>SUMIF(I5:I7,"61–90 Days",G5:G7)</f>
        <v>1200000</v>
      </c>
    </row>
    <row r="15" spans="1:10">
      <c r="A15" s="7" t="s">
        <v>230</v>
      </c>
      <c r="B15" s="9">
        <f>SUMIF(I5:I7,"90+ Days",G5:G7)</f>
        <v>0</v>
      </c>
    </row>
  </sheetData>
  <mergeCells count="3">
    <mergeCell ref="A1:J1"/>
    <mergeCell ref="A2:J2"/>
    <mergeCell ref="A10: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5"/>
  <sheetViews>
    <sheetView showGridLines="0" topLeftCell="BY1" workbookViewId="0">
      <selection sqref="A1:J1"/>
    </sheetView>
  </sheetViews>
  <sheetFormatPr defaultRowHeight="14.25"/>
  <cols>
    <col min="1" max="1" width="20" customWidth="1"/>
    <col min="2" max="9" width="15" customWidth="1"/>
  </cols>
  <sheetData>
    <row r="1" spans="1:10" ht="27.95" customHeight="1">
      <c r="A1" s="34" t="s">
        <v>231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95" customHeight="1">
      <c r="A2" s="35" t="s">
        <v>17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 t="s">
        <v>232</v>
      </c>
    </row>
    <row r="4" spans="1:10" ht="30">
      <c r="A4" s="6" t="s">
        <v>233</v>
      </c>
      <c r="B4" s="6" t="s">
        <v>211</v>
      </c>
      <c r="C4" s="6" t="s">
        <v>212</v>
      </c>
      <c r="D4" s="6" t="s">
        <v>213</v>
      </c>
      <c r="E4" s="6" t="s">
        <v>214</v>
      </c>
      <c r="F4" s="6" t="s">
        <v>215</v>
      </c>
      <c r="G4" s="6" t="s">
        <v>216</v>
      </c>
      <c r="H4" s="6" t="s">
        <v>217</v>
      </c>
      <c r="I4" s="6" t="s">
        <v>218</v>
      </c>
    </row>
    <row r="5" spans="1:10">
      <c r="A5" s="7" t="s">
        <v>234</v>
      </c>
      <c r="B5" s="7" t="s">
        <v>235</v>
      </c>
      <c r="C5" s="23">
        <v>46205</v>
      </c>
      <c r="D5" s="23">
        <v>46235</v>
      </c>
      <c r="E5" s="9">
        <v>500000</v>
      </c>
      <c r="F5" s="9">
        <v>200000</v>
      </c>
      <c r="G5" s="9">
        <f>E5-F5</f>
        <v>300000</v>
      </c>
      <c r="H5" s="7">
        <f>MAX(0,DATE(2026,8,31)-D5)</f>
        <v>30</v>
      </c>
      <c r="I5" s="7" t="str">
        <f>IF(H5=0,"Current",IF(H5&lt;=30,"1–30 Days",IF(H5&lt;=60,"31–60 Days",IF(H5&lt;=90,"61–90 Days","90+ Days"))))</f>
        <v>1–30 Days</v>
      </c>
    </row>
    <row r="6" spans="1:10">
      <c r="A6" s="7" t="s">
        <v>236</v>
      </c>
      <c r="B6" s="7" t="s">
        <v>237</v>
      </c>
      <c r="C6" s="23">
        <v>46223</v>
      </c>
      <c r="D6" s="23">
        <v>46253</v>
      </c>
      <c r="E6" s="9">
        <v>350000</v>
      </c>
      <c r="F6" s="9">
        <v>0</v>
      </c>
      <c r="G6" s="9">
        <f>E6-F6</f>
        <v>350000</v>
      </c>
      <c r="H6" s="7">
        <f>MAX(0,DATE(2026,8,31)-D6)</f>
        <v>12</v>
      </c>
      <c r="I6" s="7" t="str">
        <f>IF(H6=0,"Current",IF(H6&lt;=30,"1–30 Days",IF(H6&lt;=60,"31–60 Days",IF(H6&lt;=90,"61–90 Days","90+ Days"))))</f>
        <v>1–30 Days</v>
      </c>
    </row>
    <row r="7" spans="1:10">
      <c r="A7" s="7" t="s">
        <v>238</v>
      </c>
      <c r="B7" s="7" t="s">
        <v>239</v>
      </c>
      <c r="C7" s="23">
        <v>46162</v>
      </c>
      <c r="D7" s="23">
        <v>46192</v>
      </c>
      <c r="E7" s="9">
        <v>750000</v>
      </c>
      <c r="F7" s="9">
        <v>0</v>
      </c>
      <c r="G7" s="9">
        <f>E7-F7</f>
        <v>750000</v>
      </c>
      <c r="H7" s="7">
        <f>MAX(0,DATE(2026,8,31)-D7)</f>
        <v>73</v>
      </c>
      <c r="I7" s="7" t="str">
        <f>IF(H7=0,"Current",IF(H7&lt;=30,"1–30 Days",IF(H7&lt;=60,"31–60 Days",IF(H7&lt;=90,"61–90 Days","90+ Days"))))</f>
        <v>61–90 Days</v>
      </c>
    </row>
    <row r="10" spans="1:10" ht="20.100000000000001" customHeight="1">
      <c r="A10" s="37" t="s">
        <v>225</v>
      </c>
      <c r="B10" s="37"/>
      <c r="C10" s="37"/>
      <c r="D10" s="37"/>
    </row>
    <row r="11" spans="1:10" ht="15">
      <c r="A11" s="6" t="s">
        <v>226</v>
      </c>
      <c r="B11" s="24">
        <f>SUMIF(I5:I7,"Current",G5:G7)</f>
        <v>0</v>
      </c>
    </row>
    <row r="12" spans="1:10">
      <c r="A12" s="7" t="s">
        <v>227</v>
      </c>
      <c r="B12" s="9">
        <f>SUMIF(I5:I7,"1–30 Days",G5:G7)</f>
        <v>650000</v>
      </c>
    </row>
    <row r="13" spans="1:10">
      <c r="A13" s="7" t="s">
        <v>228</v>
      </c>
      <c r="B13" s="9">
        <f>SUMIF(I5:I7,"31–60 Days",G5:G7)</f>
        <v>0</v>
      </c>
    </row>
    <row r="14" spans="1:10">
      <c r="A14" s="7" t="s">
        <v>229</v>
      </c>
      <c r="B14" s="9">
        <f>SUMIF(I5:I7,"61–90 Days",G5:G7)</f>
        <v>750000</v>
      </c>
    </row>
    <row r="15" spans="1:10">
      <c r="A15" s="7" t="s">
        <v>230</v>
      </c>
      <c r="B15" s="9">
        <f>SUMIF(I5:I7,"90+ Days",G5:G7)</f>
        <v>0</v>
      </c>
    </row>
  </sheetData>
  <mergeCells count="3">
    <mergeCell ref="A1:J1"/>
    <mergeCell ref="A2:J2"/>
    <mergeCell ref="A10:D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"/>
  <sheetViews>
    <sheetView showGridLines="0" workbookViewId="0">
      <selection sqref="A1:J1"/>
    </sheetView>
  </sheetViews>
  <sheetFormatPr defaultRowHeight="14.25"/>
  <cols>
    <col min="1" max="1" width="25" customWidth="1"/>
    <col min="2" max="5" width="17" customWidth="1"/>
  </cols>
  <sheetData>
    <row r="1" spans="1:10" ht="27.95" customHeight="1">
      <c r="A1" s="34" t="s">
        <v>240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95" customHeight="1">
      <c r="A2" s="35" t="s">
        <v>17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 t="s">
        <v>241</v>
      </c>
    </row>
    <row r="4" spans="1:10" ht="15">
      <c r="A4" s="6" t="s">
        <v>242</v>
      </c>
      <c r="B4" s="6" t="s">
        <v>178</v>
      </c>
      <c r="C4" s="6" t="s">
        <v>23</v>
      </c>
      <c r="D4" s="6" t="s">
        <v>24</v>
      </c>
      <c r="E4" s="6" t="s">
        <v>243</v>
      </c>
    </row>
    <row r="5" spans="1:10">
      <c r="A5" s="7" t="s">
        <v>101</v>
      </c>
      <c r="B5" s="9">
        <f>'05 P&amp;L'!B18</f>
        <v>1900000</v>
      </c>
      <c r="C5" s="9">
        <f>'05 P&amp;L'!C18</f>
        <v>1800000</v>
      </c>
      <c r="D5" s="9">
        <f t="shared" ref="D5:D10" si="0">C5-B5</f>
        <v>-100000</v>
      </c>
      <c r="E5" s="9">
        <f t="shared" ref="E5:E10" si="1">B5*8</f>
        <v>15200000</v>
      </c>
    </row>
    <row r="6" spans="1:10">
      <c r="A6" s="7" t="s">
        <v>104</v>
      </c>
      <c r="B6" s="9">
        <f>'05 P&amp;L'!B19</f>
        <v>520000</v>
      </c>
      <c r="C6" s="9">
        <f>'05 P&amp;L'!C19</f>
        <v>500000</v>
      </c>
      <c r="D6" s="9">
        <f t="shared" si="0"/>
        <v>-20000</v>
      </c>
      <c r="E6" s="9">
        <f t="shared" si="1"/>
        <v>4160000</v>
      </c>
    </row>
    <row r="7" spans="1:10">
      <c r="A7" s="7" t="s">
        <v>106</v>
      </c>
      <c r="B7" s="9">
        <f>'05 P&amp;L'!B20</f>
        <v>350000</v>
      </c>
      <c r="C7" s="9">
        <f>'05 P&amp;L'!C20</f>
        <v>400000</v>
      </c>
      <c r="D7" s="9">
        <f t="shared" si="0"/>
        <v>50000</v>
      </c>
      <c r="E7" s="9">
        <f t="shared" si="1"/>
        <v>2800000</v>
      </c>
    </row>
    <row r="8" spans="1:10">
      <c r="A8" s="7" t="s">
        <v>108</v>
      </c>
      <c r="B8" s="9">
        <f>'05 P&amp;L'!B21</f>
        <v>220000</v>
      </c>
      <c r="C8" s="9">
        <f>'05 P&amp;L'!C21</f>
        <v>200000</v>
      </c>
      <c r="D8" s="9">
        <f t="shared" si="0"/>
        <v>-20000</v>
      </c>
      <c r="E8" s="9">
        <f t="shared" si="1"/>
        <v>1760000</v>
      </c>
    </row>
    <row r="9" spans="1:10">
      <c r="A9" s="7" t="s">
        <v>110</v>
      </c>
      <c r="B9" s="9">
        <f>'05 P&amp;L'!B22</f>
        <v>130000</v>
      </c>
      <c r="C9" s="9">
        <f>'05 P&amp;L'!C22</f>
        <v>120000</v>
      </c>
      <c r="D9" s="9">
        <f t="shared" si="0"/>
        <v>-10000</v>
      </c>
      <c r="E9" s="9">
        <f t="shared" si="1"/>
        <v>1040000</v>
      </c>
    </row>
    <row r="10" spans="1:10">
      <c r="A10" s="7" t="s">
        <v>112</v>
      </c>
      <c r="B10" s="9">
        <f>'05 P&amp;L'!B23</f>
        <v>180000</v>
      </c>
      <c r="C10" s="9">
        <f>'05 P&amp;L'!C23</f>
        <v>150000</v>
      </c>
      <c r="D10" s="9">
        <f t="shared" si="0"/>
        <v>-30000</v>
      </c>
      <c r="E10" s="9">
        <f t="shared" si="1"/>
        <v>1440000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0"/>
  <sheetViews>
    <sheetView showGridLines="0" workbookViewId="0">
      <selection sqref="A1:J1"/>
    </sheetView>
  </sheetViews>
  <sheetFormatPr defaultRowHeight="14.25"/>
  <cols>
    <col min="1" max="1" width="24" customWidth="1"/>
    <col min="2" max="13" width="13" customWidth="1"/>
  </cols>
  <sheetData>
    <row r="1" spans="1:13" ht="27.95" customHeight="1">
      <c r="A1" s="34" t="s">
        <v>244</v>
      </c>
      <c r="B1" s="34"/>
      <c r="C1" s="34"/>
      <c r="D1" s="34"/>
      <c r="E1" s="34"/>
      <c r="F1" s="34"/>
      <c r="G1" s="34"/>
      <c r="H1" s="34"/>
      <c r="I1" s="34"/>
      <c r="J1" s="34"/>
    </row>
    <row r="2" spans="1:13" ht="18.95" customHeight="1">
      <c r="A2" s="35" t="s">
        <v>17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 t="s">
        <v>245</v>
      </c>
    </row>
    <row r="4" spans="1:13" ht="15">
      <c r="A4" s="6" t="s">
        <v>21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  <c r="H4" s="6" t="s">
        <v>48</v>
      </c>
      <c r="I4" s="6" t="s">
        <v>49</v>
      </c>
      <c r="J4" s="6" t="s">
        <v>50</v>
      </c>
      <c r="K4" s="6" t="s">
        <v>51</v>
      </c>
      <c r="L4" s="6" t="s">
        <v>52</v>
      </c>
      <c r="M4" s="6" t="s">
        <v>53</v>
      </c>
    </row>
    <row r="5" spans="1:13">
      <c r="A5" s="7" t="s">
        <v>25</v>
      </c>
      <c r="B5" s="9">
        <v>10000000</v>
      </c>
      <c r="C5" s="9">
        <v>10500000</v>
      </c>
      <c r="D5" s="9">
        <v>11000000</v>
      </c>
      <c r="E5" s="9">
        <v>11400000</v>
      </c>
      <c r="F5" s="9">
        <v>12000000</v>
      </c>
      <c r="G5" s="9">
        <v>12400000</v>
      </c>
      <c r="H5" s="9">
        <v>12100000</v>
      </c>
      <c r="I5" s="9">
        <v>12400000</v>
      </c>
      <c r="J5" s="9">
        <v>12800000</v>
      </c>
      <c r="K5" s="9">
        <v>13100000</v>
      </c>
      <c r="L5" s="9">
        <v>13400000</v>
      </c>
      <c r="M5" s="9">
        <v>13800000</v>
      </c>
    </row>
    <row r="6" spans="1:13">
      <c r="A6" s="7" t="s">
        <v>26</v>
      </c>
      <c r="B6" s="9">
        <v>6200000</v>
      </c>
      <c r="C6" s="9">
        <v>6500000</v>
      </c>
      <c r="D6" s="9">
        <v>6800000</v>
      </c>
      <c r="E6" s="9">
        <v>7000000</v>
      </c>
      <c r="F6" s="9">
        <v>7400000</v>
      </c>
      <c r="G6" s="9">
        <v>7700000</v>
      </c>
      <c r="H6" s="9">
        <v>7500000</v>
      </c>
      <c r="I6" s="9">
        <v>7700000</v>
      </c>
      <c r="J6" s="9">
        <v>8000000</v>
      </c>
      <c r="K6" s="9">
        <v>8250000</v>
      </c>
      <c r="L6" s="9">
        <v>8500000</v>
      </c>
      <c r="M6" s="9">
        <v>8800000</v>
      </c>
    </row>
    <row r="7" spans="1:13">
      <c r="A7" s="7" t="s">
        <v>27</v>
      </c>
      <c r="B7" s="9">
        <v>2000000</v>
      </c>
      <c r="C7" s="9">
        <v>2100000</v>
      </c>
      <c r="D7" s="9">
        <v>2200000</v>
      </c>
      <c r="E7" s="9">
        <v>2300000</v>
      </c>
      <c r="F7" s="9">
        <v>2500000</v>
      </c>
      <c r="G7" s="9">
        <v>2800000</v>
      </c>
      <c r="H7" s="9">
        <v>2600000</v>
      </c>
      <c r="I7" s="9">
        <v>2800000</v>
      </c>
      <c r="J7" s="9">
        <v>3000000</v>
      </c>
      <c r="K7" s="9">
        <v>3150000</v>
      </c>
      <c r="L7" s="9">
        <v>3300000</v>
      </c>
      <c r="M7" s="9">
        <v>3500000</v>
      </c>
    </row>
    <row r="8" spans="1:13">
      <c r="A8" s="7" t="s">
        <v>28</v>
      </c>
      <c r="B8" s="9">
        <v>1100000</v>
      </c>
      <c r="C8" s="9">
        <v>1200000</v>
      </c>
      <c r="D8" s="9">
        <v>1300000</v>
      </c>
      <c r="E8" s="9">
        <v>1400000</v>
      </c>
      <c r="F8" s="9">
        <v>1500000</v>
      </c>
      <c r="G8" s="9">
        <v>1700000</v>
      </c>
      <c r="H8" s="9">
        <v>1550000</v>
      </c>
      <c r="I8" s="9">
        <v>1700000</v>
      </c>
      <c r="J8" s="9">
        <v>1850000</v>
      </c>
      <c r="K8" s="9">
        <v>1950000</v>
      </c>
      <c r="L8" s="9">
        <v>2050000</v>
      </c>
      <c r="M8" s="9">
        <v>2200000</v>
      </c>
    </row>
    <row r="9" spans="1:13">
      <c r="A9" s="7" t="s">
        <v>246</v>
      </c>
      <c r="B9" s="9">
        <v>6500000</v>
      </c>
      <c r="C9" s="9">
        <v>6700000</v>
      </c>
      <c r="D9" s="9">
        <v>6900000</v>
      </c>
      <c r="E9" s="9">
        <v>7100000</v>
      </c>
      <c r="F9" s="9">
        <v>7800000</v>
      </c>
      <c r="G9" s="9">
        <v>8300000</v>
      </c>
      <c r="H9" s="9">
        <v>8000000</v>
      </c>
      <c r="I9" s="9">
        <v>8300000</v>
      </c>
      <c r="J9" s="9">
        <v>8500000</v>
      </c>
      <c r="K9" s="9">
        <v>8800000</v>
      </c>
      <c r="L9" s="9">
        <v>9000000</v>
      </c>
      <c r="M9" s="9">
        <v>9500000</v>
      </c>
    </row>
    <row r="10" spans="1:13">
      <c r="A10" s="7" t="s">
        <v>129</v>
      </c>
      <c r="B10" s="9">
        <v>4200000</v>
      </c>
      <c r="C10" s="9">
        <v>4400000</v>
      </c>
      <c r="D10" s="9">
        <v>4600000</v>
      </c>
      <c r="E10" s="9">
        <v>4700000</v>
      </c>
      <c r="F10" s="9">
        <v>4900000</v>
      </c>
      <c r="G10" s="9">
        <v>4900000</v>
      </c>
      <c r="H10" s="9">
        <v>4900000</v>
      </c>
      <c r="I10" s="9">
        <v>4900000</v>
      </c>
      <c r="J10" s="9">
        <v>5000000</v>
      </c>
      <c r="K10" s="9">
        <v>5100000</v>
      </c>
      <c r="L10" s="9">
        <v>5200000</v>
      </c>
      <c r="M10" s="9">
        <v>5300000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7"/>
  <sheetViews>
    <sheetView showGridLines="0" workbookViewId="0">
      <selection sqref="A1:J1"/>
    </sheetView>
  </sheetViews>
  <sheetFormatPr defaultRowHeight="14.25"/>
  <sheetData>
    <row r="1" spans="1:10" ht="27.95" customHeight="1">
      <c r="A1" s="34" t="s">
        <v>247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.95" customHeight="1">
      <c r="A2" s="35" t="s">
        <v>17</v>
      </c>
      <c r="B2" s="35"/>
      <c r="C2" s="35"/>
      <c r="D2" s="35"/>
      <c r="E2" s="35"/>
      <c r="F2" s="35"/>
      <c r="G2" s="35"/>
      <c r="H2" s="36" t="s">
        <v>18</v>
      </c>
      <c r="I2" s="36" t="s">
        <v>19</v>
      </c>
      <c r="J2" s="36"/>
    </row>
    <row r="4" spans="1:10" ht="20.100000000000001" customHeight="1">
      <c r="A4" s="37" t="s">
        <v>31</v>
      </c>
      <c r="B4" s="37"/>
      <c r="C4" s="37"/>
      <c r="D4" s="37"/>
      <c r="E4" s="37"/>
      <c r="F4" s="37"/>
      <c r="G4" s="37"/>
      <c r="H4" s="37"/>
      <c r="I4" s="37"/>
      <c r="J4" s="37"/>
    </row>
    <row r="5" spans="1:10">
      <c r="A5" s="38" t="s">
        <v>248</v>
      </c>
      <c r="B5" s="38"/>
      <c r="C5" s="38"/>
      <c r="D5" s="38"/>
      <c r="E5" s="38"/>
      <c r="F5" s="38"/>
      <c r="G5" s="38"/>
      <c r="H5" s="38"/>
      <c r="I5" s="38"/>
      <c r="J5" s="38"/>
    </row>
    <row r="6" spans="1:10">
      <c r="A6" s="38"/>
      <c r="B6" s="38"/>
      <c r="C6" s="38"/>
      <c r="D6" s="38"/>
      <c r="E6" s="38"/>
      <c r="F6" s="38"/>
      <c r="G6" s="38"/>
      <c r="H6" s="38"/>
      <c r="I6" s="38"/>
      <c r="J6" s="38"/>
    </row>
    <row r="7" spans="1:10">
      <c r="A7" s="38"/>
      <c r="B7" s="38"/>
      <c r="C7" s="38"/>
      <c r="D7" s="38"/>
      <c r="E7" s="38"/>
      <c r="F7" s="38"/>
      <c r="G7" s="38"/>
      <c r="H7" s="38"/>
      <c r="I7" s="38"/>
      <c r="J7" s="38"/>
    </row>
    <row r="9" spans="1:10" ht="20.100000000000001" customHeight="1">
      <c r="A9" s="37" t="s">
        <v>33</v>
      </c>
      <c r="B9" s="37"/>
      <c r="C9" s="37"/>
      <c r="D9" s="37"/>
      <c r="E9" s="37"/>
      <c r="F9" s="37"/>
      <c r="G9" s="37"/>
      <c r="H9" s="37"/>
      <c r="I9" s="37"/>
      <c r="J9" s="37"/>
    </row>
    <row r="10" spans="1:10">
      <c r="A10" s="38" t="s">
        <v>249</v>
      </c>
      <c r="B10" s="38"/>
      <c r="C10" s="38"/>
      <c r="D10" s="38"/>
      <c r="E10" s="38"/>
      <c r="F10" s="38"/>
      <c r="G10" s="38"/>
      <c r="H10" s="38"/>
      <c r="I10" s="38"/>
      <c r="J10" s="38"/>
    </row>
    <row r="11" spans="1:10">
      <c r="A11" s="38"/>
      <c r="B11" s="38"/>
      <c r="C11" s="38"/>
      <c r="D11" s="38"/>
      <c r="E11" s="38"/>
      <c r="F11" s="38"/>
      <c r="G11" s="38"/>
      <c r="H11" s="38"/>
      <c r="I11" s="38"/>
      <c r="J11" s="38"/>
    </row>
    <row r="12" spans="1:10">
      <c r="A12" s="38"/>
      <c r="B12" s="38"/>
      <c r="C12" s="38"/>
      <c r="D12" s="38"/>
      <c r="E12" s="38"/>
      <c r="F12" s="38"/>
      <c r="G12" s="38"/>
      <c r="H12" s="38"/>
      <c r="I12" s="38"/>
      <c r="J12" s="38"/>
    </row>
    <row r="14" spans="1:10" ht="20.100000000000001" customHeight="1">
      <c r="A14" s="37" t="s">
        <v>35</v>
      </c>
      <c r="B14" s="37"/>
      <c r="C14" s="37"/>
      <c r="D14" s="37"/>
      <c r="E14" s="37"/>
      <c r="F14" s="37"/>
      <c r="G14" s="37"/>
      <c r="H14" s="37"/>
      <c r="I14" s="37"/>
      <c r="J14" s="37"/>
    </row>
    <row r="15" spans="1:10">
      <c r="A15" s="38" t="s">
        <v>250</v>
      </c>
      <c r="B15" s="38"/>
      <c r="C15" s="38"/>
      <c r="D15" s="38"/>
      <c r="E15" s="38"/>
      <c r="F15" s="38"/>
      <c r="G15" s="38"/>
      <c r="H15" s="38"/>
      <c r="I15" s="38"/>
      <c r="J15" s="38"/>
    </row>
    <row r="16" spans="1:10">
      <c r="A16" s="38"/>
      <c r="B16" s="38"/>
      <c r="C16" s="38"/>
      <c r="D16" s="38"/>
      <c r="E16" s="38"/>
      <c r="F16" s="38"/>
      <c r="G16" s="38"/>
      <c r="H16" s="38"/>
      <c r="I16" s="38"/>
      <c r="J16" s="38"/>
    </row>
    <row r="17" spans="1:10">
      <c r="A17" s="38"/>
      <c r="B17" s="38"/>
      <c r="C17" s="38"/>
      <c r="D17" s="38"/>
      <c r="E17" s="38"/>
      <c r="F17" s="38"/>
      <c r="G17" s="38"/>
      <c r="H17" s="38"/>
      <c r="I17" s="38"/>
      <c r="J17" s="38"/>
    </row>
  </sheetData>
  <mergeCells count="8">
    <mergeCell ref="A10:J12"/>
    <mergeCell ref="A14:J14"/>
    <mergeCell ref="A15:J17"/>
    <mergeCell ref="A1:J1"/>
    <mergeCell ref="A2:J2"/>
    <mergeCell ref="A4:J4"/>
    <mergeCell ref="A5:J7"/>
    <mergeCell ref="A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 Cover</vt:lpstr>
      <vt:lpstr>02 Executive Dashboard</vt:lpstr>
      <vt:lpstr>03 Control &amp; Assumptions</vt:lpstr>
      <vt:lpstr>04 Data Input</vt:lpstr>
      <vt:lpstr>05 P&amp;L</vt:lpstr>
      <vt:lpstr>06 Balance Sheet</vt:lpstr>
      <vt:lpstr>07 Cash Flow</vt:lpstr>
      <vt:lpstr>08 Budget vs Actual</vt:lpstr>
      <vt:lpstr>09 KPI Analysis</vt:lpstr>
      <vt:lpstr>10 Variance Analysis</vt:lpstr>
      <vt:lpstr>11 AR Aging</vt:lpstr>
      <vt:lpstr>12 AP Aging</vt:lpstr>
      <vt:lpstr>13 Expense Analysis</vt:lpstr>
      <vt:lpstr>14 Monthly Trends</vt:lpstr>
      <vt:lpstr>15 Notes &amp; Commentary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THAKUR</cp:lastModifiedBy>
  <dcterms:modified xsi:type="dcterms:W3CDTF">2026-08-13T17:59:40Z</dcterms:modified>
</cp:coreProperties>
</file>